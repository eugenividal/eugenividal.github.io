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<sst xmlns="http://schemas.openxmlformats.org/spreadsheetml/2006/main" count="408" uniqueCount="176">
  <si>
    <t xml:space="preserve">Tolerance windows — 2019: 2018–2020 · 2023: 2022–2024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</si>
  <si>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</si>
  <si>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</si>
  <si>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</si>
  <si>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</si>
  <si>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</si>
  <si>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</si>
  <si>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</si>
  <si>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</si>
  <si>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</si>
  <si>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</si>
  <si>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</si>
  <si>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</si>
  <si>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</si>
  <si>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</si>
  <si>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</si>
  <si>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</si>
  <si>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Intersection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</si>
  <si>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</si>
  <si>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</si>
  <si>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</si>
  <si>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</si>
  <si>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</si>
  <si>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</si>
  <si>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</si>
  <si>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</si>
  <si>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</si>
  <si>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</si>
  <si>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Unclear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</si>
  <si>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</si>
  <si>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</si>
  <si>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</si>
  <si>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</si>
  <si>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</si>
  <si>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</si>
  <si>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NA</t>
  </si>
  <si>
    <t xml:space="preserve">there was in 2015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</si>
  <si>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</si>
  <si>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</si>
  <si>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</si>
  <si>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</si>
  <si>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</si>
  <si>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</si>
  <si>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</si>
  <si>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</si>
  <si>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Just change from side to center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</si>
  <si>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</si>
  <si>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</si>
  <si>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</si>
  <si>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</si>
  <si>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</si>
  <si>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</si>
  <si>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</si>
  <si>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</si>
  <si>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</si>
  <si>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In 2024</t>
  </si>
  <si>
    <t xml:space="preserve">https://www.google.com/maps/@?api=1&amp;map_action=pano&amp;viewpoint=41.4127447371871,2.180890772398</t>
  </si>
  <si>
    <t xml:space="preserve">Probably they were working on it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</si>
  <si>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</si>
  <si>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</si>
  <si>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</si>
  <si>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</si>
  <si>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</si>
  <si>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</si>
  <si>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</si>
  <si>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</si>
  <si>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</si>
  <si>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Seen from far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</si>
  <si>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</si>
  <si>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</si>
  <si>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</si>
  <si>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</si>
  <si>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</si>
  <si>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</si>
  <si>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</si>
  <si>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</si>
  <si>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</si>
  <si>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</si>
  <si>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L’han tret d’un costat I l’han posat central</t>
  </si>
  <si>
    <t xml:space="preserve">tract_0035</t>
  </si>
  <si>
    <t xml:space="preserve">https://www.google.com/maps/@?api=1&amp;map_action=pano&amp;viewpoint=41.3843410330429,2.15681129215827</t>
  </si>
  <si>
    <t xml:space="preserve">Tolerance windows — 2019: 2018–2019 · 2023: 2023–2024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</si>
  <si>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</si>
  <si>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</si>
  <si>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</si>
  <si>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</si>
  <si>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</si>
  <si>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</si>
  <si>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</si>
  <si>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</si>
  <si>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</si>
  <si>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</si>
  <si>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</si>
  <si>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</si>
  <si>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</si>
  <si>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But there is a bike lanein the same avenue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</si>
  <si>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</si>
  <si>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</si>
  <si>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</si>
  <si>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</si>
  <si>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</si>
  <si>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</si>
  <si>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</si>
  <si>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</si>
  <si>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</si>
  <si>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</si>
  <si>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</si>
  <si>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</si>
  <si>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</si>
  <si>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</si>
  <si>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</si>
  <si>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</si>
  <si>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</si>
  <si>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</si>
  <si>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</si>
  <si>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</si>
  <si>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</si>
  <si>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</si>
  <si>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</si>
  <si>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</si>
  <si>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</si>
  <si>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</si>
  <si>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There seems to be like a bike lane, but it is not clear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</si>
  <si>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</si>
  <si>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</si>
  <si>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</si>
  <si>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</si>
  <si>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</si>
  <si>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</si>
  <si>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</si>
  <si>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</si>
  <si>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</si>
  <si>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</si>
  <si>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</si>
  <si>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</si>
  <si>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</si>
  <si>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</si>
  <si>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</si>
  <si>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</si>
  <si>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</si>
  <si>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</si>
  <si>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</si>
  <si>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</si>
  <si>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</si>
  <si>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</si>
  <si>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</si>
  <si>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</si>
  <si>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</si>
  <si>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</si>
  <si>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</si>
  <si>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</si>
  <si>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</si>
  <si>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</si>
  <si>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</si>
  <si>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</si>
  <si>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</si>
  <si>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</si>
  <si>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Tunel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</si>
  <si>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</si>
  <si>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</si>
  <si>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</si>
  <si>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</si>
  <si>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</si>
  <si>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</si>
  <si>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</si>
  <si>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</si>
  <si>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</si>
  <si>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</si>
  <si>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Concell de Cent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</si>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</sst>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7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J27" activeCellId="0" sqref="J27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4" min="4" style="0" width="7.71"/>
    <col collapsed="false" customWidth="true" hidden="false" outlineLevel="0" max="6" min="5" style="0" width="11.71"/>
    <col collapsed="false" customWidth="true" hidden="false" outlineLevel="0" max="7" min="7" style="0" width="103.71"/>
    <col collapsed="false" customWidth="true" hidden="false" outlineLevel="0" max="8" min="8" style="0" width="23.5"/>
    <col collapsed="false" customWidth="true" hidden="false" outlineLevel="0" max="10" min="9" style="0" width="12.71"/>
    <col collapsed="false" customWidth="true" hidden="false" outlineLevel="0" max="11" min="11" style="0" width="5.71"/>
  </cols>
  <sheetData>
    <row r="1" customFormat="false" ht="15" hidden="false" customHeight="true" outlineLevel="0" collapsed="false">
      <c r="H1" s="1" t="s">
        <v>0</v>
      </c>
      <c r="I1" s="1"/>
      <c r="J1" s="1"/>
      <c r="K1" s="1"/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</row>
    <row r="4" customFormat="false" ht="15" hidden="false" customHeight="false" outlineLevel="0" collapsed="false">
      <c r="A4" s="0" t="n">
        <v>1</v>
      </c>
      <c r="B4" s="0" t="s">
        <v>12</v>
      </c>
      <c r="C4" s="0" t="s">
        <v>13</v>
      </c>
      <c r="D4" s="0" t="s">
        <v>14</v>
      </c>
      <c r="E4" s="0" t="n">
        <v>2.20066738132713</v>
      </c>
      <c r="F4" s="0" t="n">
        <v>41.4264080495713</v>
      </c>
      <c r="G4" s="0" t="s">
        <v>15</v>
      </c>
      <c r="H4" s="2" t="str">
        <f aca="false">HYPERLINK("https://www.google.com/maps/@?api=1&amp;map_action=pano&amp;viewpoint=41.4264080495713,2.20066738132713","Open GSV")</f>
        <v>Open GSV</v>
      </c>
      <c r="I4" s="0" t="n">
        <v>0</v>
      </c>
      <c r="J4" s="0" t="n">
        <v>1</v>
      </c>
    </row>
    <row r="5" customFormat="false" ht="15" hidden="false" customHeight="false" outlineLevel="0" collapsed="false">
      <c r="A5" s="0" t="n">
        <v>2</v>
      </c>
      <c r="B5" s="0" t="s">
        <v>12</v>
      </c>
      <c r="C5" s="0" t="s">
        <v>13</v>
      </c>
      <c r="D5" s="0" t="s">
        <v>14</v>
      </c>
      <c r="E5" s="0" t="n">
        <v>2.2001190522901</v>
      </c>
      <c r="F5" s="0" t="n">
        <v>41.4260327049088</v>
      </c>
      <c r="G5" s="0" t="s">
        <v>16</v>
      </c>
      <c r="H5" s="2" t="str">
        <f aca="false">HYPERLINK("https://www.google.com/maps/@?api=1&amp;map_action=pano&amp;viewpoint=41.4260327049088,2.2001190522901","Open GSV")</f>
        <v>Open GSV</v>
      </c>
      <c r="I5" s="0" t="n">
        <v>0</v>
      </c>
      <c r="J5" s="0" t="n">
        <v>1</v>
      </c>
      <c r="K5" s="3" t="s">
        <v>17</v>
      </c>
    </row>
    <row r="6" customFormat="false" ht="15" hidden="false" customHeight="false" outlineLevel="0" collapsed="false">
      <c r="A6" s="0" t="n">
        <v>3</v>
      </c>
      <c r="B6" s="0" t="s">
        <v>12</v>
      </c>
      <c r="C6" s="0" t="s">
        <v>18</v>
      </c>
      <c r="D6" s="0" t="s">
        <v>19</v>
      </c>
      <c r="E6" s="0" t="n">
        <v>2.17461017557639</v>
      </c>
      <c r="F6" s="0" t="n">
        <v>41.4168653577514</v>
      </c>
      <c r="G6" s="0" t="s">
        <v>20</v>
      </c>
      <c r="H6" s="2" t="str">
        <f aca="false">HYPERLINK("https://www.google.com/maps/@?api=1&amp;map_action=pano&amp;viewpoint=41.4168653577514,2.17461017557639","Open GSV")</f>
        <v>Open GSV</v>
      </c>
      <c r="I6" s="0" t="n">
        <v>0</v>
      </c>
      <c r="J6" s="0" t="n">
        <v>1</v>
      </c>
    </row>
    <row r="7" customFormat="false" ht="15" hidden="false" customHeight="false" outlineLevel="0" collapsed="false">
      <c r="A7" s="0" t="n">
        <v>4</v>
      </c>
      <c r="B7" s="0" t="s">
        <v>12</v>
      </c>
      <c r="C7" s="0" t="s">
        <v>18</v>
      </c>
      <c r="D7" s="0" t="s">
        <v>19</v>
      </c>
      <c r="E7" s="0" t="n">
        <v>2.17090479862891</v>
      </c>
      <c r="F7" s="0" t="n">
        <v>41.4138975163228</v>
      </c>
      <c r="G7" s="0" t="s">
        <v>21</v>
      </c>
      <c r="H7" s="2" t="str">
        <f aca="false">HYPERLINK("https://www.google.com/maps/@?api=1&amp;map_action=pano&amp;viewpoint=41.4138975163228,2.17090479862891","Open GSV")</f>
        <v>Open GSV</v>
      </c>
      <c r="I7" s="0" t="n">
        <v>0</v>
      </c>
      <c r="J7" s="0" t="n">
        <v>1</v>
      </c>
    </row>
    <row r="8" customFormat="false" ht="15" hidden="false" customHeight="false" outlineLevel="0" collapsed="false">
      <c r="A8" s="0" t="n">
        <v>5</v>
      </c>
      <c r="B8" s="0" t="s">
        <v>12</v>
      </c>
      <c r="C8" s="0" t="s">
        <v>22</v>
      </c>
      <c r="D8" s="0" t="s">
        <v>19</v>
      </c>
      <c r="E8" s="0" t="n">
        <v>2.20755284185798</v>
      </c>
      <c r="F8" s="0" t="n">
        <v>41.4204490199374</v>
      </c>
      <c r="G8" s="0" t="s">
        <v>23</v>
      </c>
      <c r="H8" s="2" t="str">
        <f aca="false">HYPERLINK("https://www.google.com/maps/@?api=1&amp;map_action=pano&amp;viewpoint=41.4204490199374,2.20755284185798","Open GSV")</f>
        <v>Open GSV</v>
      </c>
      <c r="I8" s="0" t="n">
        <v>1</v>
      </c>
      <c r="J8" s="0" t="n">
        <v>1</v>
      </c>
    </row>
    <row r="9" customFormat="false" ht="15" hidden="false" customHeight="false" outlineLevel="0" collapsed="false">
      <c r="A9" s="0" t="n">
        <v>6</v>
      </c>
      <c r="B9" s="0" t="s">
        <v>12</v>
      </c>
      <c r="C9" s="0" t="s">
        <v>22</v>
      </c>
      <c r="D9" s="0" t="s">
        <v>19</v>
      </c>
      <c r="E9" s="0" t="n">
        <v>2.20794256929774</v>
      </c>
      <c r="F9" s="0" t="n">
        <v>41.4202454258576</v>
      </c>
      <c r="G9" s="0" t="s">
        <v>24</v>
      </c>
      <c r="H9" s="2" t="str">
        <f aca="false">HYPERLINK("https://www.google.com/maps/@?api=1&amp;map_action=pano&amp;viewpoint=41.4202454258576,2.20794256929774","Open GSV")</f>
        <v>Open GSV</v>
      </c>
      <c r="I9" s="0" t="n">
        <v>1</v>
      </c>
      <c r="J9" s="0" t="n">
        <v>1</v>
      </c>
    </row>
    <row r="10" customFormat="false" ht="15" hidden="false" customHeight="false" outlineLevel="0" collapsed="false">
      <c r="A10" s="0" t="n">
        <v>7</v>
      </c>
      <c r="B10" s="0" t="s">
        <v>12</v>
      </c>
      <c r="C10" s="0" t="s">
        <v>25</v>
      </c>
      <c r="D10" s="0" t="s">
        <v>26</v>
      </c>
      <c r="E10" s="0" t="n">
        <v>2.14703645256255</v>
      </c>
      <c r="F10" s="0" t="n">
        <v>41.377080104145</v>
      </c>
      <c r="G10" s="0" t="s">
        <v>27</v>
      </c>
      <c r="H10" s="2" t="str">
        <f aca="false">HYPERLINK("https://www.google.com/maps/@?api=1&amp;map_action=pano&amp;viewpoint=41.377080104145,2.14703645256255","Open GSV")</f>
        <v>Open GSV</v>
      </c>
      <c r="I10" s="0" t="n">
        <v>0</v>
      </c>
      <c r="J10" s="0" t="n">
        <v>1</v>
      </c>
      <c r="K10" s="3" t="s">
        <v>28</v>
      </c>
    </row>
    <row r="11" customFormat="false" ht="15" hidden="false" customHeight="false" outlineLevel="0" collapsed="false">
      <c r="A11" s="0" t="n">
        <v>8</v>
      </c>
      <c r="B11" s="0" t="s">
        <v>12</v>
      </c>
      <c r="C11" s="0" t="s">
        <v>29</v>
      </c>
      <c r="D11" s="0" t="s">
        <v>26</v>
      </c>
      <c r="E11" s="0" t="n">
        <v>2.18286883724723</v>
      </c>
      <c r="F11" s="0" t="n">
        <v>41.4055910317423</v>
      </c>
      <c r="G11" s="0" t="s">
        <v>30</v>
      </c>
      <c r="H11" s="2" t="str">
        <f aca="false">HYPERLINK("https://www.google.com/maps/@?api=1&amp;map_action=pano&amp;viewpoint=41.4055910317423,2.18286883724723","Open GSV")</f>
        <v>Open GSV</v>
      </c>
      <c r="I11" s="0" t="n">
        <v>0</v>
      </c>
      <c r="J11" s="0" t="n">
        <v>1</v>
      </c>
    </row>
    <row r="12" customFormat="false" ht="15" hidden="false" customHeight="false" outlineLevel="0" collapsed="false">
      <c r="A12" s="0" t="n">
        <v>9</v>
      </c>
      <c r="B12" s="0" t="s">
        <v>12</v>
      </c>
      <c r="C12" s="0" t="s">
        <v>29</v>
      </c>
      <c r="D12" s="0" t="s">
        <v>26</v>
      </c>
      <c r="E12" s="0" t="n">
        <v>2.18283205985265</v>
      </c>
      <c r="F12" s="0" t="n">
        <v>41.4031168392999</v>
      </c>
      <c r="G12" s="0" t="s">
        <v>31</v>
      </c>
      <c r="H12" s="2" t="str">
        <f aca="false">HYPERLINK("https://www.google.com/maps/@?api=1&amp;map_action=pano&amp;viewpoint=41.4031168392999,2.18283205985265","Open GSV")</f>
        <v>Open GSV</v>
      </c>
      <c r="I12" s="0" t="n">
        <v>0</v>
      </c>
      <c r="J12" s="0" t="n">
        <v>1</v>
      </c>
    </row>
    <row r="13" customFormat="false" ht="15" hidden="false" customHeight="false" outlineLevel="0" collapsed="false">
      <c r="A13" s="0" t="n">
        <v>10</v>
      </c>
      <c r="B13" s="0" t="s">
        <v>12</v>
      </c>
      <c r="C13" s="0" t="s">
        <v>32</v>
      </c>
      <c r="D13" s="0" t="s">
        <v>33</v>
      </c>
      <c r="E13" s="0" t="n">
        <v>2.17583808972965</v>
      </c>
      <c r="F13" s="0" t="n">
        <v>41.4287686792161</v>
      </c>
      <c r="G13" s="0" t="s">
        <v>34</v>
      </c>
      <c r="H13" s="2" t="str">
        <f aca="false">HYPERLINK("https://www.google.com/maps/@?api=1&amp;map_action=pano&amp;viewpoint=41.4287686792161,2.17583808972965","Open GSV")</f>
        <v>Open GSV</v>
      </c>
      <c r="I13" s="3" t="s">
        <v>35</v>
      </c>
      <c r="J13" s="0" t="n">
        <v>1</v>
      </c>
      <c r="K13" s="3" t="s">
        <v>36</v>
      </c>
    </row>
    <row r="14" customFormat="false" ht="15" hidden="false" customHeight="false" outlineLevel="0" collapsed="false">
      <c r="A14" s="0" t="n">
        <v>11</v>
      </c>
      <c r="B14" s="0" t="s">
        <v>12</v>
      </c>
      <c r="C14" s="0" t="s">
        <v>37</v>
      </c>
      <c r="D14" s="0" t="s">
        <v>33</v>
      </c>
      <c r="E14" s="0" t="n">
        <v>2.19083141351904</v>
      </c>
      <c r="F14" s="0" t="n">
        <v>41.4409954760919</v>
      </c>
      <c r="G14" s="0" t="s">
        <v>38</v>
      </c>
      <c r="H14" s="2" t="str">
        <f aca="false">HYPERLINK("https://www.google.com/maps/@?api=1&amp;map_action=pano&amp;viewpoint=41.4409954760919,2.19083141351904","Open GSV")</f>
        <v>Open GSV</v>
      </c>
      <c r="I14" s="0" t="n">
        <v>1</v>
      </c>
      <c r="J14" s="0" t="n">
        <v>1</v>
      </c>
    </row>
    <row r="15" customFormat="false" ht="15" hidden="false" customHeight="false" outlineLevel="0" collapsed="false">
      <c r="A15" s="0" t="n">
        <v>12</v>
      </c>
      <c r="B15" s="0" t="s">
        <v>12</v>
      </c>
      <c r="C15" s="0" t="s">
        <v>39</v>
      </c>
      <c r="D15" s="0" t="s">
        <v>40</v>
      </c>
      <c r="E15" s="0" t="n">
        <v>2.15155610489397</v>
      </c>
      <c r="F15" s="0" t="n">
        <v>41.4003124653889</v>
      </c>
      <c r="G15" s="0" t="s">
        <v>41</v>
      </c>
      <c r="H15" s="2" t="str">
        <f aca="false">HYPERLINK("https://www.google.com/maps/@?api=1&amp;map_action=pano&amp;viewpoint=41.4003124653889,2.15155610489397","Open GSV")</f>
        <v>Open GSV</v>
      </c>
      <c r="I15" s="0" t="n">
        <v>0</v>
      </c>
      <c r="J15" s="0" t="n">
        <v>1</v>
      </c>
    </row>
    <row r="16" customFormat="false" ht="15" hidden="false" customHeight="false" outlineLevel="0" collapsed="false">
      <c r="A16" s="0" t="n">
        <v>13</v>
      </c>
      <c r="B16" s="0" t="s">
        <v>12</v>
      </c>
      <c r="C16" s="0" t="s">
        <v>39</v>
      </c>
      <c r="D16" s="0" t="s">
        <v>40</v>
      </c>
      <c r="E16" s="0" t="n">
        <v>2.1512519597158</v>
      </c>
      <c r="F16" s="0" t="n">
        <v>41.400537545303</v>
      </c>
      <c r="G16" s="0" t="s">
        <v>42</v>
      </c>
      <c r="H16" s="2" t="str">
        <f aca="false">HYPERLINK("https://www.google.com/maps/@?api=1&amp;map_action=pano&amp;viewpoint=41.400537545303,2.1512519597158","Open GSV")</f>
        <v>Open GSV</v>
      </c>
      <c r="I16" s="0" t="n">
        <v>0</v>
      </c>
      <c r="J16" s="0" t="n">
        <v>1</v>
      </c>
    </row>
    <row r="17" customFormat="false" ht="15" hidden="false" customHeight="false" outlineLevel="0" collapsed="false">
      <c r="A17" s="0" t="n">
        <v>14</v>
      </c>
      <c r="B17" s="0" t="s">
        <v>12</v>
      </c>
      <c r="C17" s="0" t="s">
        <v>43</v>
      </c>
      <c r="D17" s="0" t="s">
        <v>40</v>
      </c>
      <c r="E17" s="0" t="n">
        <v>2.18688356275893</v>
      </c>
      <c r="F17" s="0" t="n">
        <v>41.4130423639086</v>
      </c>
      <c r="G17" s="0" t="s">
        <v>44</v>
      </c>
      <c r="H17" s="2" t="str">
        <f aca="false">HYPERLINK("https://www.google.com/maps/@?api=1&amp;map_action=pano&amp;viewpoint=41.4130423639086,2.18688356275893","Open GSV")</f>
        <v>Open GSV</v>
      </c>
      <c r="I17" s="0" t="n">
        <v>1</v>
      </c>
      <c r="J17" s="0" t="n">
        <v>1</v>
      </c>
      <c r="K17" s="3" t="s">
        <v>45</v>
      </c>
    </row>
    <row r="18" customFormat="false" ht="15" hidden="false" customHeight="false" outlineLevel="0" collapsed="false">
      <c r="A18" s="0" t="n">
        <v>15</v>
      </c>
      <c r="B18" s="0" t="s">
        <v>12</v>
      </c>
      <c r="C18" s="0" t="s">
        <v>46</v>
      </c>
      <c r="D18" s="0" t="s">
        <v>47</v>
      </c>
      <c r="E18" s="0" t="n">
        <v>2.1537501547691</v>
      </c>
      <c r="F18" s="0" t="n">
        <v>41.3981332109611</v>
      </c>
      <c r="G18" s="0" t="s">
        <v>48</v>
      </c>
      <c r="H18" s="2" t="str">
        <f aca="false">HYPERLINK("https://www.google.com/maps/@?api=1&amp;map_action=pano&amp;viewpoint=41.3981332109611,2.1537501547691","Open GSV")</f>
        <v>Open GSV</v>
      </c>
      <c r="I18" s="0" t="n">
        <v>0</v>
      </c>
      <c r="J18" s="0" t="n">
        <v>1</v>
      </c>
    </row>
    <row r="19" customFormat="false" ht="15" hidden="false" customHeight="false" outlineLevel="0" collapsed="false">
      <c r="A19" s="0" t="n">
        <v>16</v>
      </c>
      <c r="B19" s="0" t="s">
        <v>12</v>
      </c>
      <c r="C19" s="0" t="s">
        <v>49</v>
      </c>
      <c r="D19" s="0" t="s">
        <v>50</v>
      </c>
      <c r="E19" s="0" t="n">
        <v>2.1240095291374</v>
      </c>
      <c r="F19" s="0" t="n">
        <v>41.3756644128399</v>
      </c>
      <c r="G19" s="0" t="s">
        <v>51</v>
      </c>
      <c r="H19" s="2" t="str">
        <f aca="false">HYPERLINK("https://www.google.com/maps/@?api=1&amp;map_action=pano&amp;viewpoint=41.3756644128399,2.1240095291374","Open GSV")</f>
        <v>Open GSV</v>
      </c>
      <c r="I19" s="0" t="n">
        <v>0</v>
      </c>
      <c r="J19" s="0" t="n">
        <v>1</v>
      </c>
    </row>
    <row r="20" customFormat="false" ht="15" hidden="false" customHeight="false" outlineLevel="0" collapsed="false">
      <c r="A20" s="0" t="n">
        <v>17</v>
      </c>
      <c r="B20" s="0" t="s">
        <v>12</v>
      </c>
      <c r="C20" s="0" t="s">
        <v>52</v>
      </c>
      <c r="D20" s="0" t="s">
        <v>53</v>
      </c>
      <c r="E20" s="0" t="n">
        <v>2.17976081270431</v>
      </c>
      <c r="F20" s="0" t="n">
        <v>41.4118804921772</v>
      </c>
      <c r="G20" s="0" t="s">
        <v>54</v>
      </c>
      <c r="H20" s="2" t="str">
        <f aca="false">HYPERLINK("https://www.google.com/maps/@?api=1&amp;map_action=pano&amp;viewpoint=41.4118804921772,2.17976081270431","Open GSV")</f>
        <v>Open GSV</v>
      </c>
      <c r="I20" s="0" t="n">
        <v>0</v>
      </c>
      <c r="J20" s="0" t="n">
        <v>1</v>
      </c>
      <c r="K20" s="3" t="s">
        <v>55</v>
      </c>
    </row>
    <row r="21" customFormat="false" ht="15" hidden="false" customHeight="false" outlineLevel="0" collapsed="false">
      <c r="A21" s="0" t="n">
        <v>18</v>
      </c>
      <c r="B21" s="0" t="s">
        <v>12</v>
      </c>
      <c r="C21" s="0" t="s">
        <v>52</v>
      </c>
      <c r="D21" s="0" t="s">
        <v>53</v>
      </c>
      <c r="E21" s="0" t="n">
        <v>2.180890772398</v>
      </c>
      <c r="F21" s="0" t="n">
        <v>41.4127447371871</v>
      </c>
      <c r="G21" s="0" t="s">
        <v>56</v>
      </c>
      <c r="H21" s="2" t="str">
        <f aca="false">HYPERLINK("https://www.google.com/maps/@?api=1&amp;map_action=pano&amp;viewpoint=41.4127447371871,2.180890772398","Open GSV")</f>
        <v>Open GSV</v>
      </c>
      <c r="I21" s="0" t="n">
        <v>0</v>
      </c>
      <c r="J21" s="0" t="n">
        <v>1</v>
      </c>
      <c r="K21" s="3" t="s">
        <v>57</v>
      </c>
    </row>
    <row r="22" customFormat="false" ht="15" hidden="false" customHeight="false" outlineLevel="0" collapsed="false">
      <c r="A22" s="0" t="n">
        <v>19</v>
      </c>
      <c r="B22" s="0" t="s">
        <v>12</v>
      </c>
      <c r="C22" s="0" t="s">
        <v>58</v>
      </c>
      <c r="D22" s="0" t="s">
        <v>53</v>
      </c>
      <c r="E22" s="0" t="n">
        <v>2.1392576352892</v>
      </c>
      <c r="F22" s="0" t="n">
        <v>41.3600114226599</v>
      </c>
      <c r="G22" s="0" t="s">
        <v>59</v>
      </c>
      <c r="H22" s="2" t="str">
        <f aca="false">HYPERLINK("https://www.google.com/maps/@?api=1&amp;map_action=pano&amp;viewpoint=41.3600114226599,2.1392576352892","Open GSV")</f>
        <v>Open GSV</v>
      </c>
      <c r="I22" s="0" t="n">
        <v>0</v>
      </c>
      <c r="J22" s="0" t="n">
        <v>1</v>
      </c>
    </row>
    <row r="23" customFormat="false" ht="15" hidden="false" customHeight="false" outlineLevel="0" collapsed="false">
      <c r="A23" s="0" t="n">
        <v>20</v>
      </c>
      <c r="B23" s="0" t="s">
        <v>12</v>
      </c>
      <c r="C23" s="0" t="s">
        <v>60</v>
      </c>
      <c r="D23" s="0" t="s">
        <v>61</v>
      </c>
      <c r="E23" s="0" t="n">
        <v>2.14988530629908</v>
      </c>
      <c r="F23" s="0" t="n">
        <v>41.3826404587827</v>
      </c>
      <c r="G23" s="0" t="s">
        <v>62</v>
      </c>
      <c r="H23" s="2" t="str">
        <f aca="false">HYPERLINK("https://www.google.com/maps/@?api=1&amp;map_action=pano&amp;viewpoint=41.3826404587827,2.14988530629908","Open GSV")</f>
        <v>Open GSV</v>
      </c>
      <c r="I23" s="0" t="n">
        <v>0</v>
      </c>
      <c r="J23" s="0" t="n">
        <v>1</v>
      </c>
    </row>
    <row r="24" customFormat="false" ht="15" hidden="false" customHeight="false" outlineLevel="0" collapsed="false">
      <c r="A24" s="0" t="n">
        <v>21</v>
      </c>
      <c r="B24" s="0" t="s">
        <v>12</v>
      </c>
      <c r="C24" s="0" t="s">
        <v>63</v>
      </c>
      <c r="D24" s="0" t="s">
        <v>61</v>
      </c>
      <c r="E24" s="0" t="n">
        <v>2.15108991944078</v>
      </c>
      <c r="F24" s="0" t="n">
        <v>41.3817300509463</v>
      </c>
      <c r="G24" s="0" t="s">
        <v>64</v>
      </c>
      <c r="H24" s="2" t="str">
        <f aca="false">HYPERLINK("https://www.google.com/maps/@?api=1&amp;map_action=pano&amp;viewpoint=41.3817300509463,2.15108991944078","Open GSV")</f>
        <v>Open GSV</v>
      </c>
      <c r="I24" s="0" t="n">
        <v>0</v>
      </c>
      <c r="J24" s="0" t="n">
        <v>1</v>
      </c>
    </row>
    <row r="25" customFormat="false" ht="15" hidden="false" customHeight="false" outlineLevel="0" collapsed="false">
      <c r="A25" s="0" t="n">
        <v>22</v>
      </c>
      <c r="B25" s="0" t="s">
        <v>12</v>
      </c>
      <c r="C25" s="0" t="s">
        <v>65</v>
      </c>
      <c r="D25" s="0" t="s">
        <v>61</v>
      </c>
      <c r="E25" s="0" t="n">
        <v>2.14763895462665</v>
      </c>
      <c r="F25" s="0" t="n">
        <v>41.3826129597012</v>
      </c>
      <c r="G25" s="0" t="s">
        <v>66</v>
      </c>
      <c r="H25" s="2" t="str">
        <f aca="false">HYPERLINK("https://www.google.com/maps/@?api=1&amp;map_action=pano&amp;viewpoint=41.3826129597012,2.14763895462665","Open GSV")</f>
        <v>Open GSV</v>
      </c>
      <c r="I25" s="0" t="n">
        <v>0</v>
      </c>
      <c r="J25" s="0" t="n">
        <v>1</v>
      </c>
      <c r="K25" s="3" t="s">
        <v>67</v>
      </c>
    </row>
    <row r="26" customFormat="false" ht="15" hidden="false" customHeight="false" outlineLevel="0" collapsed="false">
      <c r="A26" s="0" t="n">
        <v>23</v>
      </c>
      <c r="B26" s="0" t="s">
        <v>12</v>
      </c>
      <c r="C26" s="0" t="s">
        <v>65</v>
      </c>
      <c r="D26" s="0" t="s">
        <v>61</v>
      </c>
      <c r="E26" s="0" t="n">
        <v>2.14820775338395</v>
      </c>
      <c r="F26" s="0" t="n">
        <v>41.3830424246768</v>
      </c>
      <c r="G26" s="0" t="s">
        <v>68</v>
      </c>
      <c r="H26" s="2" t="str">
        <f aca="false">HYPERLINK("https://www.google.com/maps/@?api=1&amp;map_action=pano&amp;viewpoint=41.3830424246768,2.14820775338395","Open GSV")</f>
        <v>Open GSV</v>
      </c>
      <c r="I26" s="0" t="n">
        <v>0</v>
      </c>
      <c r="J26" s="0" t="n">
        <v>0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J11" activeCellId="0" sqref="J1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4" min="4" style="0" width="7.71"/>
    <col collapsed="false" customWidth="true" hidden="false" outlineLevel="0" max="6" min="5" style="0" width="11.71"/>
    <col collapsed="false" customWidth="true" hidden="false" outlineLevel="0" max="7" min="7" style="0" width="103.71"/>
    <col collapsed="false" customWidth="true" hidden="false" outlineLevel="0" max="8" min="8" style="0" width="60.71"/>
    <col collapsed="false" customWidth="true" hidden="false" outlineLevel="0" max="10" min="9" style="0" width="12.71"/>
    <col collapsed="false" customWidth="true" hidden="false" outlineLevel="0" max="11" min="11" style="0" width="5.71"/>
  </cols>
  <sheetData>
    <row r="1" customFormat="false" ht="15" hidden="false" customHeight="true" outlineLevel="0" collapsed="false">
      <c r="H1" s="1" t="s">
        <v>0</v>
      </c>
      <c r="I1" s="1"/>
      <c r="J1" s="1"/>
      <c r="K1" s="1"/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</row>
    <row r="4" customFormat="false" ht="15" hidden="false" customHeight="false" outlineLevel="0" collapsed="false">
      <c r="A4" s="0" t="n">
        <v>1</v>
      </c>
      <c r="B4" s="0" t="s">
        <v>69</v>
      </c>
      <c r="C4" s="0" t="s">
        <v>70</v>
      </c>
      <c r="D4" s="0" t="s">
        <v>14</v>
      </c>
      <c r="E4" s="0" t="n">
        <v>2.17777103704595</v>
      </c>
      <c r="F4" s="0" t="n">
        <v>41.4515433412202</v>
      </c>
      <c r="G4" s="0" t="s">
        <v>71</v>
      </c>
      <c r="H4" s="2" t="str">
        <f aca="false">HYPERLINK("https://www.google.com/maps/@?api=1&amp;map_action=pano&amp;viewpoint=41.4515433412202,2.17777103704595","Open GSV")</f>
        <v>Open GSV</v>
      </c>
      <c r="I4" s="0" t="n">
        <v>1</v>
      </c>
      <c r="J4" s="3" t="s">
        <v>35</v>
      </c>
    </row>
    <row r="5" customFormat="false" ht="15" hidden="false" customHeight="false" outlineLevel="0" collapsed="false">
      <c r="A5" s="0" t="n">
        <v>2</v>
      </c>
      <c r="B5" s="0" t="s">
        <v>69</v>
      </c>
      <c r="C5" s="0" t="s">
        <v>22</v>
      </c>
      <c r="D5" s="0" t="s">
        <v>19</v>
      </c>
      <c r="E5" s="0" t="n">
        <v>2.20760853101058</v>
      </c>
      <c r="F5" s="0" t="n">
        <v>41.4202482359963</v>
      </c>
      <c r="G5" s="0" t="s">
        <v>72</v>
      </c>
      <c r="H5" s="2" t="str">
        <f aca="false">HYPERLINK("https://www.google.com/maps/@?api=1&amp;map_action=pano&amp;viewpoint=41.4202482359963,2.20760853101058","Open GSV")</f>
        <v>Open GSV</v>
      </c>
      <c r="I5" s="0" t="n">
        <v>1</v>
      </c>
      <c r="J5" s="0" t="n">
        <v>1</v>
      </c>
    </row>
    <row r="6" customFormat="false" ht="15" hidden="false" customHeight="false" outlineLevel="0" collapsed="false">
      <c r="A6" s="0" t="n">
        <v>3</v>
      </c>
      <c r="B6" s="0" t="s">
        <v>69</v>
      </c>
      <c r="C6" s="0" t="s">
        <v>29</v>
      </c>
      <c r="D6" s="0" t="s">
        <v>26</v>
      </c>
      <c r="E6" s="0" t="n">
        <v>2.18402222039462</v>
      </c>
      <c r="F6" s="0" t="n">
        <v>41.4027716533881</v>
      </c>
      <c r="G6" s="0" t="s">
        <v>73</v>
      </c>
      <c r="H6" s="2" t="str">
        <f aca="false">HYPERLINK("https://www.google.com/maps/@?api=1&amp;map_action=pano&amp;viewpoint=41.4027716533881,2.18402222039462","Open GSV")</f>
        <v>Open GSV</v>
      </c>
      <c r="I6" s="3" t="s">
        <v>35</v>
      </c>
      <c r="J6" s="3" t="s">
        <v>35</v>
      </c>
    </row>
    <row r="7" customFormat="false" ht="15" hidden="false" customHeight="false" outlineLevel="0" collapsed="false">
      <c r="A7" s="0" t="n">
        <v>4</v>
      </c>
      <c r="B7" s="0" t="s">
        <v>69</v>
      </c>
      <c r="C7" s="0" t="s">
        <v>74</v>
      </c>
      <c r="D7" s="0" t="s">
        <v>33</v>
      </c>
      <c r="E7" s="0" t="n">
        <v>2.17979187635586</v>
      </c>
      <c r="F7" s="0" t="n">
        <v>41.4325734990105</v>
      </c>
      <c r="G7" s="0" t="s">
        <v>75</v>
      </c>
      <c r="H7" s="2" t="str">
        <f aca="false">HYPERLINK("https://www.google.com/maps/@?api=1&amp;map_action=pano&amp;viewpoint=41.4325734990105,2.17979187635586","Open GSV")</f>
        <v>Open GSV</v>
      </c>
      <c r="I7" s="0" t="n">
        <v>0</v>
      </c>
      <c r="J7" s="0" t="n">
        <v>0</v>
      </c>
    </row>
    <row r="8" customFormat="false" ht="15" hidden="false" customHeight="false" outlineLevel="0" collapsed="false">
      <c r="A8" s="0" t="n">
        <v>5</v>
      </c>
      <c r="B8" s="0" t="s">
        <v>69</v>
      </c>
      <c r="C8" s="0" t="s">
        <v>32</v>
      </c>
      <c r="D8" s="0" t="s">
        <v>33</v>
      </c>
      <c r="E8" s="0" t="n">
        <v>2.17443405811539</v>
      </c>
      <c r="F8" s="0" t="n">
        <v>41.4302405151313</v>
      </c>
      <c r="G8" s="0" t="s">
        <v>76</v>
      </c>
      <c r="H8" s="2" t="str">
        <f aca="false">HYPERLINK("https://www.google.com/maps/@?api=1&amp;map_action=pano&amp;viewpoint=41.4302405151313,2.17443405811539","Open GSV")</f>
        <v>Open GSV</v>
      </c>
      <c r="I8" s="0" t="n">
        <v>1</v>
      </c>
      <c r="J8" s="0" t="n">
        <v>1</v>
      </c>
    </row>
    <row r="9" customFormat="false" ht="15" hidden="false" customHeight="false" outlineLevel="0" collapsed="false">
      <c r="A9" s="0" t="n">
        <v>6</v>
      </c>
      <c r="B9" s="0" t="s">
        <v>69</v>
      </c>
      <c r="C9" s="0" t="s">
        <v>43</v>
      </c>
      <c r="D9" s="0" t="s">
        <v>40</v>
      </c>
      <c r="E9" s="0" t="n">
        <v>2.1866819455711</v>
      </c>
      <c r="F9" s="0" t="n">
        <v>41.4130691282514</v>
      </c>
      <c r="G9" s="0" t="s">
        <v>77</v>
      </c>
      <c r="H9" s="2" t="str">
        <f aca="false">HYPERLINK("https://www.google.com/maps/@?api=1&amp;map_action=pano&amp;viewpoint=41.4130691282514,2.1866819455711","Open GSV")</f>
        <v>Open GSV</v>
      </c>
      <c r="I9" s="0" t="n">
        <v>1</v>
      </c>
      <c r="J9" s="0" t="n">
        <v>0</v>
      </c>
      <c r="K9" s="3" t="s">
        <v>78</v>
      </c>
    </row>
    <row r="10" customFormat="false" ht="15" hidden="false" customHeight="false" outlineLevel="0" collapsed="false">
      <c r="A10" s="0" t="n">
        <v>7</v>
      </c>
      <c r="B10" s="0" t="s">
        <v>69</v>
      </c>
      <c r="C10" s="0" t="s">
        <v>79</v>
      </c>
      <c r="D10" s="0" t="s">
        <v>47</v>
      </c>
      <c r="E10" s="0" t="n">
        <v>2.15681129215827</v>
      </c>
      <c r="F10" s="0" t="n">
        <v>41.3843410330429</v>
      </c>
      <c r="G10" s="0" t="s">
        <v>80</v>
      </c>
      <c r="H10" s="2" t="str">
        <f aca="false">HYPERLINK("https://www.google.com/maps/@?api=1&amp;map_action=pano&amp;viewpoint=41.3843410330429,2.15681129215827","Open GSV")</f>
        <v>Open GSV</v>
      </c>
      <c r="I10" s="3" t="s">
        <v>35</v>
      </c>
      <c r="J10" s="3" t="s">
        <v>35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H10" activePane="bottomRight" state="frozen"/>
      <selection pane="topLeft" activeCell="A1" activeCellId="0" sqref="A1"/>
      <selection pane="topRight" activeCell="H1" activeCellId="0" sqref="H1"/>
      <selection pane="bottomLeft" activeCell="A10" activeCellId="0" sqref="A10"/>
      <selection pane="bottomRight" activeCell="J58" activeCellId="0" sqref="J5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4" min="4" style="0" width="7.71"/>
    <col collapsed="false" customWidth="true" hidden="false" outlineLevel="0" max="6" min="5" style="0" width="11.71"/>
    <col collapsed="false" customWidth="true" hidden="false" outlineLevel="0" max="7" min="7" style="0" width="103.71"/>
    <col collapsed="false" customWidth="true" hidden="false" outlineLevel="0" max="8" min="8" style="0" width="19.33"/>
    <col collapsed="false" customWidth="true" hidden="false" outlineLevel="0" max="10" min="9" style="0" width="12.71"/>
    <col collapsed="false" customWidth="true" hidden="false" outlineLevel="0" max="11" min="11" style="0" width="5.71"/>
  </cols>
  <sheetData>
    <row r="1" customFormat="false" ht="28.35" hidden="false" customHeight="true" outlineLevel="0" collapsed="false">
      <c r="H1" s="1" t="s">
        <v>81</v>
      </c>
      <c r="I1" s="1"/>
      <c r="J1" s="1"/>
      <c r="K1" s="1"/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</row>
    <row r="4" customFormat="false" ht="15" hidden="false" customHeight="false" outlineLevel="0" collapsed="false">
      <c r="A4" s="0" t="n">
        <v>1</v>
      </c>
      <c r="B4" s="0" t="s">
        <v>82</v>
      </c>
      <c r="C4" s="0" t="s">
        <v>83</v>
      </c>
      <c r="D4" s="0" t="s">
        <v>14</v>
      </c>
      <c r="E4" s="0" t="n">
        <v>2.11112605507937</v>
      </c>
      <c r="F4" s="0" t="n">
        <v>41.3932064521027</v>
      </c>
      <c r="G4" s="0" t="s">
        <v>84</v>
      </c>
      <c r="H4" s="2" t="str">
        <f aca="false">HYPERLINK("https://www.google.com/maps/@?api=1&amp;map_action=pano&amp;viewpoint=41.3932064521027,2.11112605507937","Open GSV")</f>
        <v>Open GSV</v>
      </c>
      <c r="I4" s="0" t="n">
        <v>0</v>
      </c>
      <c r="J4" s="0" t="n">
        <v>0</v>
      </c>
    </row>
    <row r="5" customFormat="false" ht="15" hidden="false" customHeight="false" outlineLevel="0" collapsed="false">
      <c r="A5" s="0" t="n">
        <v>2</v>
      </c>
      <c r="B5" s="0" t="s">
        <v>82</v>
      </c>
      <c r="C5" s="0" t="s">
        <v>85</v>
      </c>
      <c r="D5" s="0" t="s">
        <v>14</v>
      </c>
      <c r="E5" s="0" t="n">
        <v>2.17164025173199</v>
      </c>
      <c r="F5" s="0" t="n">
        <v>41.4247533001717</v>
      </c>
      <c r="G5" s="0" t="s">
        <v>86</v>
      </c>
      <c r="H5" s="2" t="str">
        <f aca="false">HYPERLINK("https://www.google.com/maps/@?api=1&amp;map_action=pano&amp;viewpoint=41.4247533001717,2.17164025173199","Open GSV")</f>
        <v>Open GSV</v>
      </c>
      <c r="I5" s="0" t="n">
        <v>0</v>
      </c>
      <c r="J5" s="0" t="n">
        <v>0</v>
      </c>
    </row>
    <row r="6" customFormat="false" ht="15" hidden="false" customHeight="false" outlineLevel="0" collapsed="false">
      <c r="A6" s="0" t="n">
        <v>3</v>
      </c>
      <c r="B6" s="0" t="s">
        <v>82</v>
      </c>
      <c r="C6" s="0" t="s">
        <v>70</v>
      </c>
      <c r="D6" s="0" t="s">
        <v>14</v>
      </c>
      <c r="E6" s="0" t="n">
        <v>2.18667423787148</v>
      </c>
      <c r="F6" s="0" t="n">
        <v>41.4567713011868</v>
      </c>
      <c r="G6" s="0" t="s">
        <v>87</v>
      </c>
      <c r="H6" s="2" t="str">
        <f aca="false">HYPERLINK("https://www.google.com/maps/@?api=1&amp;map_action=pano&amp;viewpoint=41.4567713011868,2.18667423787148","Open GSV")</f>
        <v>Open GSV</v>
      </c>
      <c r="I6" s="0" t="n">
        <v>0</v>
      </c>
      <c r="J6" s="0" t="n">
        <v>0</v>
      </c>
    </row>
    <row r="7" customFormat="false" ht="15" hidden="false" customHeight="false" outlineLevel="0" collapsed="false">
      <c r="A7" s="0" t="n">
        <v>4</v>
      </c>
      <c r="B7" s="0" t="s">
        <v>82</v>
      </c>
      <c r="C7" s="0" t="s">
        <v>88</v>
      </c>
      <c r="D7" s="0" t="s">
        <v>14</v>
      </c>
      <c r="E7" s="0" t="n">
        <v>2.14358179947585</v>
      </c>
      <c r="F7" s="0" t="n">
        <v>41.411850666639</v>
      </c>
      <c r="G7" s="0" t="s">
        <v>89</v>
      </c>
      <c r="H7" s="2" t="str">
        <f aca="false">HYPERLINK("https://www.google.com/maps/@?api=1&amp;map_action=pano&amp;viewpoint=41.411850666639,2.14358179947585","Open GSV")</f>
        <v>Open GSV</v>
      </c>
      <c r="I7" s="0" t="n">
        <v>0</v>
      </c>
      <c r="J7" s="0" t="n">
        <v>0</v>
      </c>
    </row>
    <row r="8" customFormat="false" ht="15" hidden="false" customHeight="false" outlineLevel="0" collapsed="false">
      <c r="A8" s="0" t="n">
        <v>5</v>
      </c>
      <c r="B8" s="0" t="s">
        <v>82</v>
      </c>
      <c r="C8" s="0" t="s">
        <v>90</v>
      </c>
      <c r="D8" s="0" t="s">
        <v>14</v>
      </c>
      <c r="E8" s="0" t="n">
        <v>2.21053183017967</v>
      </c>
      <c r="F8" s="0" t="n">
        <v>41.4211982619348</v>
      </c>
      <c r="G8" s="0" t="s">
        <v>91</v>
      </c>
      <c r="H8" s="2" t="str">
        <f aca="false">HYPERLINK("https://www.google.com/maps/@?api=1&amp;map_action=pano&amp;viewpoint=41.4211982619348,2.21053183017967","Open GSV")</f>
        <v>Open GSV</v>
      </c>
      <c r="I8" s="0" t="n">
        <v>0</v>
      </c>
      <c r="J8" s="0" t="n">
        <v>0</v>
      </c>
    </row>
    <row r="9" customFormat="false" ht="15" hidden="false" customHeight="false" outlineLevel="0" collapsed="false">
      <c r="A9" s="0" t="n">
        <v>6</v>
      </c>
      <c r="B9" s="0" t="s">
        <v>82</v>
      </c>
      <c r="C9" s="0" t="s">
        <v>13</v>
      </c>
      <c r="D9" s="0" t="s">
        <v>14</v>
      </c>
      <c r="E9" s="0" t="n">
        <v>2.20319468392843</v>
      </c>
      <c r="F9" s="0" t="n">
        <v>41.4288360966998</v>
      </c>
      <c r="G9" s="0" t="s">
        <v>92</v>
      </c>
      <c r="H9" s="2" t="str">
        <f aca="false">HYPERLINK("https://www.google.com/maps/@?api=1&amp;map_action=pano&amp;viewpoint=41.4288360966998,2.20319468392843","Open GSV")</f>
        <v>Open GSV</v>
      </c>
      <c r="I9" s="0" t="n">
        <v>0</v>
      </c>
      <c r="J9" s="0" t="n">
        <v>0</v>
      </c>
    </row>
    <row r="10" customFormat="false" ht="15" hidden="false" customHeight="false" outlineLevel="0" collapsed="false">
      <c r="A10" s="0" t="n">
        <v>7</v>
      </c>
      <c r="B10" s="0" t="s">
        <v>82</v>
      </c>
      <c r="C10" s="0" t="s">
        <v>93</v>
      </c>
      <c r="D10" s="0" t="s">
        <v>19</v>
      </c>
      <c r="E10" s="0" t="n">
        <v>2.13481716306763</v>
      </c>
      <c r="F10" s="0" t="n">
        <v>41.3899769573627</v>
      </c>
      <c r="G10" s="0" t="s">
        <v>94</v>
      </c>
      <c r="H10" s="2" t="str">
        <f aca="false">HYPERLINK("https://www.google.com/maps/@?api=1&amp;map_action=pano&amp;viewpoint=41.3899769573627,2.13481716306763","Open GSV")</f>
        <v>Open GSV</v>
      </c>
      <c r="I10" s="0" t="n">
        <v>0</v>
      </c>
      <c r="J10" s="0" t="n">
        <v>0</v>
      </c>
      <c r="K10" s="3" t="s">
        <v>95</v>
      </c>
    </row>
    <row r="11" customFormat="false" ht="15" hidden="false" customHeight="false" outlineLevel="0" collapsed="false">
      <c r="A11" s="0" t="n">
        <v>8</v>
      </c>
      <c r="B11" s="0" t="s">
        <v>82</v>
      </c>
      <c r="C11" s="0" t="s">
        <v>96</v>
      </c>
      <c r="D11" s="0" t="s">
        <v>19</v>
      </c>
      <c r="E11" s="0" t="n">
        <v>2.19626920405694</v>
      </c>
      <c r="F11" s="0" t="n">
        <v>41.4191436986578</v>
      </c>
      <c r="G11" s="0" t="s">
        <v>97</v>
      </c>
      <c r="H11" s="2" t="str">
        <f aca="false">HYPERLINK("https://www.google.com/maps/@?api=1&amp;map_action=pano&amp;viewpoint=41.4191436986578,2.19626920405694","Open GSV")</f>
        <v>Open GSV</v>
      </c>
      <c r="I11" s="0" t="n">
        <v>0</v>
      </c>
      <c r="J11" s="0" t="n">
        <v>0</v>
      </c>
    </row>
    <row r="12" customFormat="false" ht="15" hidden="false" customHeight="false" outlineLevel="0" collapsed="false">
      <c r="A12" s="0" t="n">
        <v>9</v>
      </c>
      <c r="B12" s="0" t="s">
        <v>82</v>
      </c>
      <c r="C12" s="0" t="s">
        <v>98</v>
      </c>
      <c r="D12" s="0" t="s">
        <v>19</v>
      </c>
      <c r="E12" s="0" t="n">
        <v>2.20147692941493</v>
      </c>
      <c r="F12" s="0" t="n">
        <v>41.4187247746906</v>
      </c>
      <c r="G12" s="0" t="s">
        <v>99</v>
      </c>
      <c r="H12" s="2" t="str">
        <f aca="false">HYPERLINK("https://www.google.com/maps/@?api=1&amp;map_action=pano&amp;viewpoint=41.4187247746906,2.20147692941493","Open GSV")</f>
        <v>Open GSV</v>
      </c>
      <c r="I12" s="3" t="s">
        <v>35</v>
      </c>
      <c r="J12" s="3" t="s">
        <v>35</v>
      </c>
    </row>
    <row r="13" customFormat="false" ht="15" hidden="false" customHeight="false" outlineLevel="0" collapsed="false">
      <c r="A13" s="0" t="n">
        <v>10</v>
      </c>
      <c r="B13" s="0" t="s">
        <v>82</v>
      </c>
      <c r="C13" s="0" t="s">
        <v>18</v>
      </c>
      <c r="D13" s="0" t="s">
        <v>19</v>
      </c>
      <c r="E13" s="0" t="n">
        <v>2.17365149753509</v>
      </c>
      <c r="F13" s="0" t="n">
        <v>41.4161859546486</v>
      </c>
      <c r="G13" s="0" t="s">
        <v>100</v>
      </c>
      <c r="H13" s="2" t="str">
        <f aca="false">HYPERLINK("https://www.google.com/maps/@?api=1&amp;map_action=pano&amp;viewpoint=41.4161859546486,2.17365149753509","Open GSV")</f>
        <v>Open GSV</v>
      </c>
      <c r="I13" s="0" t="n">
        <v>0</v>
      </c>
      <c r="J13" s="0" t="n">
        <v>0</v>
      </c>
    </row>
    <row r="14" customFormat="false" ht="15" hidden="false" customHeight="false" outlineLevel="0" collapsed="false">
      <c r="A14" s="0" t="n">
        <v>11</v>
      </c>
      <c r="B14" s="0" t="s">
        <v>82</v>
      </c>
      <c r="C14" s="0" t="s">
        <v>22</v>
      </c>
      <c r="D14" s="0" t="s">
        <v>19</v>
      </c>
      <c r="E14" s="0" t="n">
        <v>2.20884184029177</v>
      </c>
      <c r="F14" s="0" t="n">
        <v>41.4203974876489</v>
      </c>
      <c r="G14" s="0" t="s">
        <v>101</v>
      </c>
      <c r="H14" s="2" t="str">
        <f aca="false">HYPERLINK("https://www.google.com/maps/@?api=1&amp;map_action=pano&amp;viewpoint=41.4203974876489,2.20884184029177","Open GSV")</f>
        <v>Open GSV</v>
      </c>
      <c r="I14" s="0" t="n">
        <v>0</v>
      </c>
      <c r="J14" s="0" t="n">
        <v>0</v>
      </c>
    </row>
    <row r="15" customFormat="false" ht="15" hidden="false" customHeight="false" outlineLevel="0" collapsed="false">
      <c r="A15" s="0" t="n">
        <v>12</v>
      </c>
      <c r="B15" s="0" t="s">
        <v>82</v>
      </c>
      <c r="C15" s="0" t="s">
        <v>102</v>
      </c>
      <c r="D15" s="0" t="s">
        <v>19</v>
      </c>
      <c r="E15" s="0" t="n">
        <v>2.15773509778003</v>
      </c>
      <c r="F15" s="0" t="n">
        <v>41.4118559509525</v>
      </c>
      <c r="G15" s="0" t="s">
        <v>103</v>
      </c>
      <c r="H15" s="2" t="str">
        <f aca="false">HYPERLINK("https://www.google.com/maps/@?api=1&amp;map_action=pano&amp;viewpoint=41.4118559509525,2.15773509778003","Open GSV")</f>
        <v>Open GSV</v>
      </c>
      <c r="I15" s="0" t="n">
        <v>0</v>
      </c>
      <c r="J15" s="0" t="n">
        <v>0</v>
      </c>
    </row>
    <row r="16" customFormat="false" ht="15" hidden="false" customHeight="false" outlineLevel="0" collapsed="false">
      <c r="A16" s="0" t="n">
        <v>13</v>
      </c>
      <c r="B16" s="0" t="s">
        <v>82</v>
      </c>
      <c r="C16" s="0" t="s">
        <v>104</v>
      </c>
      <c r="D16" s="0" t="s">
        <v>26</v>
      </c>
      <c r="E16" s="0" t="n">
        <v>2.19946483961434</v>
      </c>
      <c r="F16" s="0" t="n">
        <v>41.3963822104274</v>
      </c>
      <c r="G16" s="0" t="s">
        <v>105</v>
      </c>
      <c r="H16" s="2" t="str">
        <f aca="false">HYPERLINK("https://www.google.com/maps/@?api=1&amp;map_action=pano&amp;viewpoint=41.3963822104274,2.19946483961434","Open GSV")</f>
        <v>Open GSV</v>
      </c>
      <c r="I16" s="0" t="n">
        <v>0</v>
      </c>
      <c r="J16" s="0" t="n">
        <v>0</v>
      </c>
    </row>
    <row r="17" customFormat="false" ht="15" hidden="false" customHeight="false" outlineLevel="0" collapsed="false">
      <c r="A17" s="0" t="n">
        <v>14</v>
      </c>
      <c r="B17" s="0" t="s">
        <v>82</v>
      </c>
      <c r="C17" s="0" t="s">
        <v>106</v>
      </c>
      <c r="D17" s="0" t="s">
        <v>26</v>
      </c>
      <c r="E17" s="0" t="n">
        <v>2.1779500510206</v>
      </c>
      <c r="F17" s="0" t="n">
        <v>41.3812602005827</v>
      </c>
      <c r="G17" s="0" t="s">
        <v>107</v>
      </c>
      <c r="H17" s="2" t="str">
        <f aca="false">HYPERLINK("https://www.google.com/maps/@?api=1&amp;map_action=pano&amp;viewpoint=41.3812602005827,2.1779500510206","Open GSV")</f>
        <v>Open GSV</v>
      </c>
      <c r="I17" s="0" t="n">
        <v>0</v>
      </c>
      <c r="J17" s="0" t="n">
        <v>0</v>
      </c>
    </row>
    <row r="18" customFormat="false" ht="15" hidden="false" customHeight="false" outlineLevel="0" collapsed="false">
      <c r="A18" s="0" t="n">
        <v>15</v>
      </c>
      <c r="B18" s="0" t="s">
        <v>82</v>
      </c>
      <c r="C18" s="0" t="s">
        <v>108</v>
      </c>
      <c r="D18" s="0" t="s">
        <v>26</v>
      </c>
      <c r="E18" s="0" t="n">
        <v>2.20229369638876</v>
      </c>
      <c r="F18" s="0" t="n">
        <v>41.3977126513934</v>
      </c>
      <c r="G18" s="0" t="s">
        <v>109</v>
      </c>
      <c r="H18" s="2" t="str">
        <f aca="false">HYPERLINK("https://www.google.com/maps/@?api=1&amp;map_action=pano&amp;viewpoint=41.3977126513934,2.20229369638876","Open GSV")</f>
        <v>Open GSV</v>
      </c>
      <c r="I18" s="0" t="n">
        <v>0</v>
      </c>
      <c r="J18" s="0" t="n">
        <v>0</v>
      </c>
    </row>
    <row r="19" customFormat="false" ht="15" hidden="false" customHeight="false" outlineLevel="0" collapsed="false">
      <c r="A19" s="0" t="n">
        <v>16</v>
      </c>
      <c r="B19" s="0" t="s">
        <v>82</v>
      </c>
      <c r="C19" s="0" t="s">
        <v>110</v>
      </c>
      <c r="D19" s="0" t="s">
        <v>26</v>
      </c>
      <c r="E19" s="0" t="n">
        <v>2.20911860622425</v>
      </c>
      <c r="F19" s="0" t="n">
        <v>41.4070710798432</v>
      </c>
      <c r="G19" s="0" t="s">
        <v>111</v>
      </c>
      <c r="H19" s="2" t="str">
        <f aca="false">HYPERLINK("https://www.google.com/maps/@?api=1&amp;map_action=pano&amp;viewpoint=41.4070710798432,2.20911860622425","Open GSV")</f>
        <v>Open GSV</v>
      </c>
      <c r="I19" s="0" t="n">
        <v>0</v>
      </c>
      <c r="J19" s="0" t="n">
        <v>0</v>
      </c>
    </row>
    <row r="20" customFormat="false" ht="15" hidden="false" customHeight="false" outlineLevel="0" collapsed="false">
      <c r="A20" s="0" t="n">
        <v>17</v>
      </c>
      <c r="B20" s="0" t="s">
        <v>82</v>
      </c>
      <c r="C20" s="0" t="s">
        <v>25</v>
      </c>
      <c r="D20" s="0" t="s">
        <v>26</v>
      </c>
      <c r="E20" s="0" t="n">
        <v>2.1446241490505</v>
      </c>
      <c r="F20" s="0" t="n">
        <v>41.3755137966054</v>
      </c>
      <c r="G20" s="0" t="s">
        <v>112</v>
      </c>
      <c r="H20" s="2" t="str">
        <f aca="false">HYPERLINK("https://www.google.com/maps/@?api=1&amp;map_action=pano&amp;viewpoint=41.3755137966054,2.1446241490505","Open GSV")</f>
        <v>Open GSV</v>
      </c>
      <c r="I20" s="3" t="s">
        <v>35</v>
      </c>
      <c r="J20" s="3" t="s">
        <v>35</v>
      </c>
    </row>
    <row r="21" customFormat="false" ht="15" hidden="false" customHeight="false" outlineLevel="0" collapsed="false">
      <c r="A21" s="0" t="n">
        <v>18</v>
      </c>
      <c r="B21" s="0" t="s">
        <v>82</v>
      </c>
      <c r="C21" s="0" t="s">
        <v>29</v>
      </c>
      <c r="D21" s="0" t="s">
        <v>26</v>
      </c>
      <c r="E21" s="0" t="n">
        <v>2.184144461932</v>
      </c>
      <c r="F21" s="0" t="n">
        <v>41.402833823806</v>
      </c>
      <c r="G21" s="0" t="s">
        <v>113</v>
      </c>
      <c r="H21" s="2" t="str">
        <f aca="false">HYPERLINK("https://www.google.com/maps/@?api=1&amp;map_action=pano&amp;viewpoint=41.402833823806,2.184144461932","Open GSV")</f>
        <v>Open GSV</v>
      </c>
      <c r="I21" s="3" t="s">
        <v>35</v>
      </c>
      <c r="J21" s="3" t="s">
        <v>35</v>
      </c>
    </row>
    <row r="22" customFormat="false" ht="15" hidden="false" customHeight="false" outlineLevel="0" collapsed="false">
      <c r="A22" s="0" t="n">
        <v>19</v>
      </c>
      <c r="B22" s="0" t="s">
        <v>82</v>
      </c>
      <c r="C22" s="0" t="s">
        <v>114</v>
      </c>
      <c r="D22" s="0" t="s">
        <v>33</v>
      </c>
      <c r="E22" s="0" t="n">
        <v>2.12152578919576</v>
      </c>
      <c r="F22" s="0" t="n">
        <v>41.396619405733</v>
      </c>
      <c r="G22" s="0" t="s">
        <v>115</v>
      </c>
      <c r="H22" s="2" t="str">
        <f aca="false">HYPERLINK("https://www.google.com/maps/@?api=1&amp;map_action=pano&amp;viewpoint=41.396619405733,2.12152578919576","Open GSV")</f>
        <v>Open GSV</v>
      </c>
      <c r="I22" s="0" t="n">
        <v>0</v>
      </c>
      <c r="J22" s="0" t="n">
        <v>0</v>
      </c>
    </row>
    <row r="23" customFormat="false" ht="15" hidden="false" customHeight="false" outlineLevel="0" collapsed="false">
      <c r="A23" s="0" t="n">
        <v>20</v>
      </c>
      <c r="B23" s="0" t="s">
        <v>82</v>
      </c>
      <c r="C23" s="0" t="s">
        <v>74</v>
      </c>
      <c r="D23" s="0" t="s">
        <v>33</v>
      </c>
      <c r="E23" s="0" t="n">
        <v>2.17950852524612</v>
      </c>
      <c r="F23" s="0" t="n">
        <v>41.432164699833</v>
      </c>
      <c r="G23" s="0" t="s">
        <v>116</v>
      </c>
      <c r="H23" s="2" t="str">
        <f aca="false">HYPERLINK("https://www.google.com/maps/@?api=1&amp;map_action=pano&amp;viewpoint=41.432164699833,2.17950852524612","Open GSV")</f>
        <v>Open GSV</v>
      </c>
      <c r="I23" s="0" t="n">
        <v>0</v>
      </c>
      <c r="J23" s="0" t="n">
        <v>0</v>
      </c>
    </row>
    <row r="24" customFormat="false" ht="15" hidden="false" customHeight="false" outlineLevel="0" collapsed="false">
      <c r="A24" s="0" t="n">
        <v>21</v>
      </c>
      <c r="B24" s="0" t="s">
        <v>82</v>
      </c>
      <c r="C24" s="0" t="s">
        <v>117</v>
      </c>
      <c r="D24" s="0" t="s">
        <v>33</v>
      </c>
      <c r="E24" s="0" t="n">
        <v>2.1257689815069</v>
      </c>
      <c r="F24" s="0" t="n">
        <v>41.3929009079565</v>
      </c>
      <c r="G24" s="0" t="s">
        <v>118</v>
      </c>
      <c r="H24" s="2" t="str">
        <f aca="false">HYPERLINK("https://www.google.com/maps/@?api=1&amp;map_action=pano&amp;viewpoint=41.3929009079565,2.1257689815069","Open GSV")</f>
        <v>Open GSV</v>
      </c>
      <c r="I24" s="0" t="n">
        <v>0</v>
      </c>
      <c r="J24" s="0" t="n">
        <v>0</v>
      </c>
    </row>
    <row r="25" customFormat="false" ht="15" hidden="false" customHeight="false" outlineLevel="0" collapsed="false">
      <c r="A25" s="0" t="n">
        <v>22</v>
      </c>
      <c r="B25" s="0" t="s">
        <v>82</v>
      </c>
      <c r="C25" s="0" t="s">
        <v>119</v>
      </c>
      <c r="D25" s="0" t="s">
        <v>33</v>
      </c>
      <c r="E25" s="0" t="n">
        <v>2.18422140795697</v>
      </c>
      <c r="F25" s="0" t="n">
        <v>41.4348652360132</v>
      </c>
      <c r="G25" s="0" t="s">
        <v>120</v>
      </c>
      <c r="H25" s="2" t="str">
        <f aca="false">HYPERLINK("https://www.google.com/maps/@?api=1&amp;map_action=pano&amp;viewpoint=41.4348652360132,2.18422140795697","Open GSV")</f>
        <v>Open GSV</v>
      </c>
      <c r="I25" s="0" t="n">
        <v>0</v>
      </c>
      <c r="J25" s="0" t="n">
        <v>0</v>
      </c>
    </row>
    <row r="26" customFormat="false" ht="15" hidden="false" customHeight="false" outlineLevel="0" collapsed="false">
      <c r="A26" s="0" t="n">
        <v>23</v>
      </c>
      <c r="B26" s="0" t="s">
        <v>82</v>
      </c>
      <c r="C26" s="0" t="s">
        <v>32</v>
      </c>
      <c r="D26" s="0" t="s">
        <v>33</v>
      </c>
      <c r="E26" s="0" t="n">
        <v>2.17554044898547</v>
      </c>
      <c r="F26" s="0" t="n">
        <v>41.4280695936332</v>
      </c>
      <c r="G26" s="0" t="s">
        <v>121</v>
      </c>
      <c r="H26" s="2" t="str">
        <f aca="false">HYPERLINK("https://www.google.com/maps/@?api=1&amp;map_action=pano&amp;viewpoint=41.4280695936332,2.17554044898547","Open GSV")</f>
        <v>Open GSV</v>
      </c>
      <c r="I26" s="0" t="n">
        <v>0</v>
      </c>
      <c r="J26" s="0" t="n">
        <v>0</v>
      </c>
      <c r="K26" s="3" t="s">
        <v>122</v>
      </c>
    </row>
    <row r="27" customFormat="false" ht="15" hidden="false" customHeight="false" outlineLevel="0" collapsed="false">
      <c r="A27" s="0" t="n">
        <v>24</v>
      </c>
      <c r="B27" s="0" t="s">
        <v>82</v>
      </c>
      <c r="C27" s="0" t="s">
        <v>37</v>
      </c>
      <c r="D27" s="0" t="s">
        <v>33</v>
      </c>
      <c r="E27" s="0" t="n">
        <v>2.18993300624021</v>
      </c>
      <c r="F27" s="0" t="n">
        <v>41.4420740636848</v>
      </c>
      <c r="G27" s="0" t="s">
        <v>123</v>
      </c>
      <c r="H27" s="2" t="str">
        <f aca="false">HYPERLINK("https://www.google.com/maps/@?api=1&amp;map_action=pano&amp;viewpoint=41.4420740636848,2.18993300624021","Open GSV")</f>
        <v>Open GSV</v>
      </c>
      <c r="I27" s="0" t="n">
        <v>0</v>
      </c>
      <c r="J27" s="0" t="n">
        <v>0</v>
      </c>
    </row>
    <row r="28" customFormat="false" ht="15" hidden="false" customHeight="false" outlineLevel="0" collapsed="false">
      <c r="A28" s="0" t="n">
        <v>25</v>
      </c>
      <c r="B28" s="0" t="s">
        <v>82</v>
      </c>
      <c r="C28" s="0" t="s">
        <v>39</v>
      </c>
      <c r="D28" s="0" t="s">
        <v>40</v>
      </c>
      <c r="E28" s="0" t="n">
        <v>2.15217129410179</v>
      </c>
      <c r="F28" s="0" t="n">
        <v>41.4015813026278</v>
      </c>
      <c r="G28" s="0" t="s">
        <v>124</v>
      </c>
      <c r="H28" s="2" t="str">
        <f aca="false">HYPERLINK("https://www.google.com/maps/@?api=1&amp;map_action=pano&amp;viewpoint=41.4015813026278,2.15217129410179","Open GSV")</f>
        <v>Open GSV</v>
      </c>
      <c r="I28" s="0" t="n">
        <v>0</v>
      </c>
      <c r="J28" s="0" t="n">
        <v>0</v>
      </c>
    </row>
    <row r="29" customFormat="false" ht="15" hidden="false" customHeight="false" outlineLevel="0" collapsed="false">
      <c r="A29" s="0" t="n">
        <v>26</v>
      </c>
      <c r="B29" s="0" t="s">
        <v>82</v>
      </c>
      <c r="C29" s="0" t="s">
        <v>125</v>
      </c>
      <c r="D29" s="0" t="s">
        <v>40</v>
      </c>
      <c r="E29" s="0" t="n">
        <v>2.13682274790633</v>
      </c>
      <c r="F29" s="0" t="n">
        <v>41.4006579623741</v>
      </c>
      <c r="G29" s="0" t="s">
        <v>126</v>
      </c>
      <c r="H29" s="2" t="str">
        <f aca="false">HYPERLINK("https://www.google.com/maps/@?api=1&amp;map_action=pano&amp;viewpoint=41.4006579623741,2.13682274790633","Open GSV")</f>
        <v>Open GSV</v>
      </c>
      <c r="I29" s="0" t="n">
        <v>0</v>
      </c>
      <c r="J29" s="3" t="s">
        <v>35</v>
      </c>
    </row>
    <row r="30" customFormat="false" ht="15" hidden="false" customHeight="false" outlineLevel="0" collapsed="false">
      <c r="A30" s="0" t="n">
        <v>27</v>
      </c>
      <c r="B30" s="0" t="s">
        <v>82</v>
      </c>
      <c r="C30" s="0" t="s">
        <v>127</v>
      </c>
      <c r="D30" s="0" t="s">
        <v>40</v>
      </c>
      <c r="E30" s="0" t="n">
        <v>2.17196473004792</v>
      </c>
      <c r="F30" s="0" t="n">
        <v>41.4226246930358</v>
      </c>
      <c r="G30" s="0" t="s">
        <v>128</v>
      </c>
      <c r="H30" s="2" t="str">
        <f aca="false">HYPERLINK("https://www.google.com/maps/@?api=1&amp;map_action=pano&amp;viewpoint=41.4226246930358,2.17196473004792","Open GSV")</f>
        <v>Open GSV</v>
      </c>
      <c r="I30" s="0" t="n">
        <v>0</v>
      </c>
      <c r="J30" s="0" t="n">
        <v>0</v>
      </c>
    </row>
    <row r="31" customFormat="false" ht="15" hidden="false" customHeight="false" outlineLevel="0" collapsed="false">
      <c r="A31" s="0" t="n">
        <v>28</v>
      </c>
      <c r="B31" s="0" t="s">
        <v>82</v>
      </c>
      <c r="C31" s="0" t="s">
        <v>43</v>
      </c>
      <c r="D31" s="0" t="s">
        <v>40</v>
      </c>
      <c r="E31" s="0" t="n">
        <v>2.18492445209311</v>
      </c>
      <c r="F31" s="0" t="n">
        <v>41.4150491439476</v>
      </c>
      <c r="G31" s="0" t="s">
        <v>129</v>
      </c>
      <c r="H31" s="2" t="str">
        <f aca="false">HYPERLINK("https://www.google.com/maps/@?api=1&amp;map_action=pano&amp;viewpoint=41.4150491439476,2.18492445209311","Open GSV")</f>
        <v>Open GSV</v>
      </c>
      <c r="I31" s="0" t="n">
        <v>0</v>
      </c>
      <c r="J31" s="0" t="n">
        <v>0</v>
      </c>
    </row>
    <row r="32" customFormat="false" ht="15" hidden="false" customHeight="false" outlineLevel="0" collapsed="false">
      <c r="A32" s="0" t="n">
        <v>29</v>
      </c>
      <c r="B32" s="0" t="s">
        <v>82</v>
      </c>
      <c r="C32" s="0" t="s">
        <v>130</v>
      </c>
      <c r="D32" s="0" t="s">
        <v>40</v>
      </c>
      <c r="E32" s="0" t="n">
        <v>2.15548652012964</v>
      </c>
      <c r="F32" s="0" t="n">
        <v>41.4074267663036</v>
      </c>
      <c r="G32" s="0" t="s">
        <v>131</v>
      </c>
      <c r="H32" s="2" t="str">
        <f aca="false">HYPERLINK("https://www.google.com/maps/@?api=1&amp;map_action=pano&amp;viewpoint=41.4074267663036,2.15548652012964","Open GSV")</f>
        <v>Open GSV</v>
      </c>
      <c r="I32" s="0" t="n">
        <v>0</v>
      </c>
      <c r="J32" s="0" t="n">
        <v>0</v>
      </c>
    </row>
    <row r="33" customFormat="false" ht="15" hidden="false" customHeight="false" outlineLevel="0" collapsed="false">
      <c r="A33" s="0" t="n">
        <v>30</v>
      </c>
      <c r="B33" s="0" t="s">
        <v>82</v>
      </c>
      <c r="C33" s="0" t="s">
        <v>132</v>
      </c>
      <c r="D33" s="0" t="s">
        <v>40</v>
      </c>
      <c r="E33" s="0" t="n">
        <v>2.13808882764804</v>
      </c>
      <c r="F33" s="0" t="n">
        <v>41.3854551096854</v>
      </c>
      <c r="G33" s="0" t="s">
        <v>133</v>
      </c>
      <c r="H33" s="2" t="str">
        <f aca="false">HYPERLINK("https://www.google.com/maps/@?api=1&amp;map_action=pano&amp;viewpoint=41.3854551096854,2.13808882764804","Open GSV")</f>
        <v>Open GSV</v>
      </c>
      <c r="I33" s="3" t="s">
        <v>35</v>
      </c>
      <c r="J33" s="3" t="s">
        <v>35</v>
      </c>
    </row>
    <row r="34" customFormat="false" ht="15" hidden="false" customHeight="false" outlineLevel="0" collapsed="false">
      <c r="A34" s="0" t="n">
        <v>31</v>
      </c>
      <c r="B34" s="0" t="s">
        <v>82</v>
      </c>
      <c r="C34" s="0" t="s">
        <v>134</v>
      </c>
      <c r="D34" s="0" t="s">
        <v>47</v>
      </c>
      <c r="E34" s="0" t="n">
        <v>2.18509796710136</v>
      </c>
      <c r="F34" s="0" t="n">
        <v>41.391080594057</v>
      </c>
      <c r="G34" s="0" t="s">
        <v>135</v>
      </c>
      <c r="H34" s="2" t="str">
        <f aca="false">HYPERLINK("https://www.google.com/maps/@?api=1&amp;map_action=pano&amp;viewpoint=41.391080594057,2.18509796710136","Open GSV")</f>
        <v>Open GSV</v>
      </c>
      <c r="I34" s="0" t="n">
        <v>0</v>
      </c>
      <c r="J34" s="0" t="n">
        <v>0</v>
      </c>
    </row>
    <row r="35" customFormat="false" ht="15" hidden="false" customHeight="false" outlineLevel="0" collapsed="false">
      <c r="A35" s="0" t="n">
        <v>32</v>
      </c>
      <c r="B35" s="0" t="s">
        <v>82</v>
      </c>
      <c r="C35" s="0" t="s">
        <v>136</v>
      </c>
      <c r="D35" s="0" t="s">
        <v>47</v>
      </c>
      <c r="E35" s="0" t="n">
        <v>2.20336300190423</v>
      </c>
      <c r="F35" s="0" t="n">
        <v>41.4011415980583</v>
      </c>
      <c r="G35" s="0" t="s">
        <v>137</v>
      </c>
      <c r="H35" s="2" t="str">
        <f aca="false">HYPERLINK("https://www.google.com/maps/@?api=1&amp;map_action=pano&amp;viewpoint=41.4011415980583,2.20336300190423","Open GSV")</f>
        <v>Open GSV</v>
      </c>
      <c r="I35" s="3" t="s">
        <v>35</v>
      </c>
      <c r="J35" s="0" t="n">
        <v>0</v>
      </c>
    </row>
    <row r="36" customFormat="false" ht="15" hidden="false" customHeight="false" outlineLevel="0" collapsed="false">
      <c r="A36" s="0" t="n">
        <v>33</v>
      </c>
      <c r="B36" s="0" t="s">
        <v>82</v>
      </c>
      <c r="C36" s="0" t="s">
        <v>138</v>
      </c>
      <c r="D36" s="0" t="s">
        <v>47</v>
      </c>
      <c r="E36" s="0" t="n">
        <v>2.19135694702395</v>
      </c>
      <c r="F36" s="0" t="n">
        <v>41.3804724546004</v>
      </c>
      <c r="G36" s="0" t="s">
        <v>139</v>
      </c>
      <c r="H36" s="2" t="str">
        <f aca="false">HYPERLINK("https://www.google.com/maps/@?api=1&amp;map_action=pano&amp;viewpoint=41.3804724546004,2.19135694702395","Open GSV")</f>
        <v>Open GSV</v>
      </c>
      <c r="I36" s="0" t="n">
        <v>0</v>
      </c>
      <c r="J36" s="0" t="n">
        <v>0</v>
      </c>
    </row>
    <row r="37" customFormat="false" ht="15" hidden="false" customHeight="false" outlineLevel="0" collapsed="false">
      <c r="A37" s="0" t="n">
        <v>34</v>
      </c>
      <c r="B37" s="0" t="s">
        <v>82</v>
      </c>
      <c r="C37" s="0" t="s">
        <v>140</v>
      </c>
      <c r="D37" s="0" t="s">
        <v>47</v>
      </c>
      <c r="E37" s="0" t="n">
        <v>2.18047713982975</v>
      </c>
      <c r="F37" s="0" t="n">
        <v>41.3853426556678</v>
      </c>
      <c r="G37" s="0" t="s">
        <v>141</v>
      </c>
      <c r="H37" s="2" t="str">
        <f aca="false">HYPERLINK("https://www.google.com/maps/@?api=1&amp;map_action=pano&amp;viewpoint=41.3853426556678,2.18047713982975","Open GSV")</f>
        <v>Open GSV</v>
      </c>
      <c r="I37" s="3" t="s">
        <v>35</v>
      </c>
      <c r="J37" s="3" t="s">
        <v>35</v>
      </c>
    </row>
    <row r="38" customFormat="false" ht="15" hidden="false" customHeight="false" outlineLevel="0" collapsed="false">
      <c r="A38" s="0" t="n">
        <v>35</v>
      </c>
      <c r="B38" s="0" t="s">
        <v>82</v>
      </c>
      <c r="C38" s="0" t="s">
        <v>79</v>
      </c>
      <c r="D38" s="0" t="s">
        <v>47</v>
      </c>
      <c r="E38" s="0" t="n">
        <v>2.1565247155248</v>
      </c>
      <c r="F38" s="0" t="n">
        <v>41.3841769311014</v>
      </c>
      <c r="G38" s="0" t="s">
        <v>142</v>
      </c>
      <c r="H38" s="2" t="str">
        <f aca="false">HYPERLINK("https://www.google.com/maps/@?api=1&amp;map_action=pano&amp;viewpoint=41.3841769311014,2.1565247155248","Open GSV")</f>
        <v>Open GSV</v>
      </c>
      <c r="I38" s="3" t="s">
        <v>35</v>
      </c>
      <c r="J38" s="3" t="s">
        <v>35</v>
      </c>
    </row>
    <row r="39" customFormat="false" ht="15" hidden="false" customHeight="false" outlineLevel="0" collapsed="false">
      <c r="A39" s="0" t="n">
        <v>36</v>
      </c>
      <c r="B39" s="0" t="s">
        <v>82</v>
      </c>
      <c r="C39" s="0" t="s">
        <v>46</v>
      </c>
      <c r="D39" s="0" t="s">
        <v>47</v>
      </c>
      <c r="E39" s="0" t="n">
        <v>2.15417745034608</v>
      </c>
      <c r="F39" s="0" t="n">
        <v>41.3986859004821</v>
      </c>
      <c r="G39" s="0" t="s">
        <v>143</v>
      </c>
      <c r="H39" s="2" t="str">
        <f aca="false">HYPERLINK("https://www.google.com/maps/@?api=1&amp;map_action=pano&amp;viewpoint=41.3986859004821,2.15417745034608","Open GSV")</f>
        <v>Open GSV</v>
      </c>
      <c r="I39" s="0" t="n">
        <v>0</v>
      </c>
      <c r="J39" s="0" t="n">
        <v>0</v>
      </c>
    </row>
    <row r="40" customFormat="false" ht="15" hidden="false" customHeight="false" outlineLevel="0" collapsed="false">
      <c r="A40" s="0" t="n">
        <v>37</v>
      </c>
      <c r="B40" s="0" t="s">
        <v>82</v>
      </c>
      <c r="C40" s="0" t="s">
        <v>144</v>
      </c>
      <c r="D40" s="0" t="s">
        <v>50</v>
      </c>
      <c r="E40" s="0" t="n">
        <v>2.14274288174723</v>
      </c>
      <c r="F40" s="0" t="n">
        <v>41.411535083767</v>
      </c>
      <c r="G40" s="0" t="s">
        <v>145</v>
      </c>
      <c r="H40" s="2" t="str">
        <f aca="false">HYPERLINK("https://www.google.com/maps/@?api=1&amp;map_action=pano&amp;viewpoint=41.411535083767,2.14274288174723","Open GSV")</f>
        <v>Open GSV</v>
      </c>
      <c r="I40" s="0" t="n">
        <v>0</v>
      </c>
      <c r="J40" s="0" t="n">
        <v>0</v>
      </c>
    </row>
    <row r="41" customFormat="false" ht="15" hidden="false" customHeight="false" outlineLevel="0" collapsed="false">
      <c r="A41" s="0" t="n">
        <v>38</v>
      </c>
      <c r="B41" s="0" t="s">
        <v>82</v>
      </c>
      <c r="C41" s="0" t="s">
        <v>146</v>
      </c>
      <c r="D41" s="0" t="s">
        <v>50</v>
      </c>
      <c r="E41" s="0" t="n">
        <v>2.17503942985598</v>
      </c>
      <c r="F41" s="0" t="n">
        <v>41.4252573284386</v>
      </c>
      <c r="G41" s="0" t="s">
        <v>147</v>
      </c>
      <c r="H41" s="2" t="str">
        <f aca="false">HYPERLINK("https://www.google.com/maps/@?api=1&amp;map_action=pano&amp;viewpoint=41.4252573284386,2.17503942985598","Open GSV")</f>
        <v>Open GSV</v>
      </c>
      <c r="I41" s="0" t="n">
        <v>0</v>
      </c>
      <c r="J41" s="0" t="n">
        <v>0</v>
      </c>
    </row>
    <row r="42" customFormat="false" ht="15" hidden="false" customHeight="false" outlineLevel="0" collapsed="false">
      <c r="A42" s="0" t="n">
        <v>39</v>
      </c>
      <c r="B42" s="0" t="s">
        <v>82</v>
      </c>
      <c r="C42" s="0" t="s">
        <v>148</v>
      </c>
      <c r="D42" s="0" t="s">
        <v>50</v>
      </c>
      <c r="E42" s="0" t="n">
        <v>2.17558434676366</v>
      </c>
      <c r="F42" s="0" t="n">
        <v>41.4375909606213</v>
      </c>
      <c r="G42" s="0" t="s">
        <v>149</v>
      </c>
      <c r="H42" s="2" t="str">
        <f aca="false">HYPERLINK("https://www.google.com/maps/@?api=1&amp;map_action=pano&amp;viewpoint=41.4375909606213,2.17558434676366","Open GSV")</f>
        <v>Open GSV</v>
      </c>
      <c r="I42" s="0" t="n">
        <v>0</v>
      </c>
      <c r="J42" s="0" t="n">
        <v>0</v>
      </c>
    </row>
    <row r="43" customFormat="false" ht="15" hidden="false" customHeight="false" outlineLevel="0" collapsed="false">
      <c r="A43" s="0" t="n">
        <v>40</v>
      </c>
      <c r="B43" s="0" t="s">
        <v>82</v>
      </c>
      <c r="C43" s="0" t="s">
        <v>150</v>
      </c>
      <c r="D43" s="0" t="s">
        <v>50</v>
      </c>
      <c r="E43" s="0" t="n">
        <v>2.17118879985358</v>
      </c>
      <c r="F43" s="0" t="n">
        <v>41.4294550506314</v>
      </c>
      <c r="G43" s="0" t="s">
        <v>151</v>
      </c>
      <c r="H43" s="2" t="str">
        <f aca="false">HYPERLINK("https://www.google.com/maps/@?api=1&amp;map_action=pano&amp;viewpoint=41.4294550506314,2.17118879985358","Open GSV")</f>
        <v>Open GSV</v>
      </c>
      <c r="I43" s="0" t="n">
        <v>0</v>
      </c>
      <c r="J43" s="0" t="n">
        <v>0</v>
      </c>
    </row>
    <row r="44" customFormat="false" ht="15" hidden="false" customHeight="false" outlineLevel="0" collapsed="false">
      <c r="A44" s="0" t="n">
        <v>41</v>
      </c>
      <c r="B44" s="0" t="s">
        <v>82</v>
      </c>
      <c r="C44" s="0" t="s">
        <v>49</v>
      </c>
      <c r="D44" s="0" t="s">
        <v>50</v>
      </c>
      <c r="E44" s="0" t="n">
        <v>2.12497775693313</v>
      </c>
      <c r="F44" s="0" t="n">
        <v>41.3762841412853</v>
      </c>
      <c r="G44" s="0" t="s">
        <v>152</v>
      </c>
      <c r="H44" s="2" t="str">
        <f aca="false">HYPERLINK("https://www.google.com/maps/@?api=1&amp;map_action=pano&amp;viewpoint=41.3762841412853,2.12497775693313","Open GSV")</f>
        <v>Open GSV</v>
      </c>
      <c r="I44" s="0" t="n">
        <v>0</v>
      </c>
      <c r="J44" s="0" t="n">
        <v>0</v>
      </c>
    </row>
    <row r="45" customFormat="false" ht="15" hidden="false" customHeight="false" outlineLevel="0" collapsed="false">
      <c r="A45" s="0" t="n">
        <v>42</v>
      </c>
      <c r="B45" s="0" t="s">
        <v>82</v>
      </c>
      <c r="C45" s="0" t="s">
        <v>153</v>
      </c>
      <c r="D45" s="0" t="s">
        <v>50</v>
      </c>
      <c r="E45" s="0" t="n">
        <v>2.18422164540232</v>
      </c>
      <c r="F45" s="0" t="n">
        <v>41.4268378384439</v>
      </c>
      <c r="G45" s="0" t="s">
        <v>154</v>
      </c>
      <c r="H45" s="2" t="str">
        <f aca="false">HYPERLINK("https://www.google.com/maps/@?api=1&amp;map_action=pano&amp;viewpoint=41.4268378384439,2.18422164540232","Open GSV")</f>
        <v>Open GSV</v>
      </c>
      <c r="I45" s="0" t="n">
        <v>0</v>
      </c>
      <c r="J45" s="0" t="n">
        <v>0</v>
      </c>
    </row>
    <row r="46" customFormat="false" ht="15" hidden="false" customHeight="false" outlineLevel="0" collapsed="false">
      <c r="A46" s="0" t="n">
        <v>43</v>
      </c>
      <c r="B46" s="0" t="s">
        <v>82</v>
      </c>
      <c r="C46" s="0" t="s">
        <v>155</v>
      </c>
      <c r="D46" s="0" t="s">
        <v>53</v>
      </c>
      <c r="E46" s="0" t="n">
        <v>2.13094452370991</v>
      </c>
      <c r="F46" s="0" t="n">
        <v>41.3744366888969</v>
      </c>
      <c r="G46" s="0" t="s">
        <v>156</v>
      </c>
      <c r="H46" s="2" t="str">
        <f aca="false">HYPERLINK("https://www.google.com/maps/@?api=1&amp;map_action=pano&amp;viewpoint=41.3744366888969,2.13094452370991","Open GSV")</f>
        <v>Open GSV</v>
      </c>
      <c r="I46" s="3" t="s">
        <v>35</v>
      </c>
      <c r="J46" s="3" t="s">
        <v>35</v>
      </c>
      <c r="K46" s="3" t="s">
        <v>157</v>
      </c>
    </row>
    <row r="47" customFormat="false" ht="15" hidden="false" customHeight="false" outlineLevel="0" collapsed="false">
      <c r="A47" s="0" t="n">
        <v>44</v>
      </c>
      <c r="B47" s="0" t="s">
        <v>82</v>
      </c>
      <c r="C47" s="0" t="s">
        <v>52</v>
      </c>
      <c r="D47" s="0" t="s">
        <v>53</v>
      </c>
      <c r="E47" s="0" t="n">
        <v>2.17995534593106</v>
      </c>
      <c r="F47" s="0" t="n">
        <v>41.4116357110187</v>
      </c>
      <c r="G47" s="0" t="s">
        <v>158</v>
      </c>
      <c r="H47" s="2" t="str">
        <f aca="false">HYPERLINK("https://www.google.com/maps/@?api=1&amp;map_action=pano&amp;viewpoint=41.4116357110187,2.17995534593106","Open GSV")</f>
        <v>Open GSV</v>
      </c>
      <c r="I47" s="0" t="n">
        <v>0</v>
      </c>
      <c r="J47" s="3" t="s">
        <v>35</v>
      </c>
    </row>
    <row r="48" customFormat="false" ht="15" hidden="false" customHeight="false" outlineLevel="0" collapsed="false">
      <c r="A48" s="0" t="n">
        <v>45</v>
      </c>
      <c r="B48" s="0" t="s">
        <v>82</v>
      </c>
      <c r="C48" s="0" t="s">
        <v>159</v>
      </c>
      <c r="D48" s="0" t="s">
        <v>53</v>
      </c>
      <c r="E48" s="0" t="n">
        <v>2.13749671208556</v>
      </c>
      <c r="F48" s="0" t="n">
        <v>41.3837465996295</v>
      </c>
      <c r="G48" s="0" t="s">
        <v>160</v>
      </c>
      <c r="H48" s="2" t="str">
        <f aca="false">HYPERLINK("https://www.google.com/maps/@?api=1&amp;map_action=pano&amp;viewpoint=41.3837465996295,2.13749671208556","Open GSV")</f>
        <v>Open GSV</v>
      </c>
      <c r="I48" s="0" t="n">
        <v>0</v>
      </c>
      <c r="J48" s="3" t="s">
        <v>35</v>
      </c>
    </row>
    <row r="49" customFormat="false" ht="15" hidden="false" customHeight="false" outlineLevel="0" collapsed="false">
      <c r="A49" s="0" t="n">
        <v>46</v>
      </c>
      <c r="B49" s="0" t="s">
        <v>82</v>
      </c>
      <c r="C49" s="0" t="s">
        <v>161</v>
      </c>
      <c r="D49" s="0" t="s">
        <v>53</v>
      </c>
      <c r="E49" s="0" t="n">
        <v>2.18949567391625</v>
      </c>
      <c r="F49" s="0" t="n">
        <v>41.4174637683116</v>
      </c>
      <c r="G49" s="0" t="s">
        <v>162</v>
      </c>
      <c r="H49" s="2" t="str">
        <f aca="false">HYPERLINK("https://www.google.com/maps/@?api=1&amp;map_action=pano&amp;viewpoint=41.4174637683116,2.18949567391625","Open GSV")</f>
        <v>Open GSV</v>
      </c>
      <c r="I49" s="0" t="n">
        <v>0</v>
      </c>
      <c r="J49" s="0" t="n">
        <v>0</v>
      </c>
    </row>
    <row r="50" customFormat="false" ht="15" hidden="false" customHeight="false" outlineLevel="0" collapsed="false">
      <c r="A50" s="0" t="n">
        <v>47</v>
      </c>
      <c r="B50" s="0" t="s">
        <v>82</v>
      </c>
      <c r="C50" s="0" t="s">
        <v>58</v>
      </c>
      <c r="D50" s="0" t="s">
        <v>53</v>
      </c>
      <c r="E50" s="0" t="n">
        <v>2.14146642224544</v>
      </c>
      <c r="F50" s="0" t="n">
        <v>41.3597170753085</v>
      </c>
      <c r="G50" s="0" t="s">
        <v>163</v>
      </c>
      <c r="H50" s="2" t="str">
        <f aca="false">HYPERLINK("https://www.google.com/maps/@?api=1&amp;map_action=pano&amp;viewpoint=41.3597170753085,2.14146642224544","Open GSV")</f>
        <v>Open GSV</v>
      </c>
      <c r="I50" s="0" t="n">
        <v>0</v>
      </c>
      <c r="J50" s="0" t="n">
        <v>0</v>
      </c>
    </row>
    <row r="51" customFormat="false" ht="15" hidden="false" customHeight="false" outlineLevel="0" collapsed="false">
      <c r="A51" s="0" t="n">
        <v>48</v>
      </c>
      <c r="B51" s="0" t="s">
        <v>82</v>
      </c>
      <c r="C51" s="0" t="s">
        <v>164</v>
      </c>
      <c r="D51" s="0" t="s">
        <v>53</v>
      </c>
      <c r="E51" s="0" t="n">
        <v>2.18309206663696</v>
      </c>
      <c r="F51" s="0" t="n">
        <v>41.4151770935663</v>
      </c>
      <c r="G51" s="0" t="s">
        <v>165</v>
      </c>
      <c r="H51" s="2" t="str">
        <f aca="false">HYPERLINK("https://www.google.com/maps/@?api=1&amp;map_action=pano&amp;viewpoint=41.4151770935663,2.18309206663696","Open GSV")</f>
        <v>Open GSV</v>
      </c>
      <c r="I51" s="0" t="n">
        <v>0</v>
      </c>
      <c r="J51" s="0" t="n">
        <v>0</v>
      </c>
    </row>
    <row r="52" customFormat="false" ht="15" hidden="false" customHeight="false" outlineLevel="0" collapsed="false">
      <c r="A52" s="0" t="n">
        <v>49</v>
      </c>
      <c r="B52" s="0" t="s">
        <v>82</v>
      </c>
      <c r="C52" s="0" t="s">
        <v>60</v>
      </c>
      <c r="D52" s="0" t="s">
        <v>61</v>
      </c>
      <c r="E52" s="0" t="n">
        <v>2.14941316766172</v>
      </c>
      <c r="F52" s="0" t="n">
        <v>41.382997412302</v>
      </c>
      <c r="G52" s="0" t="s">
        <v>166</v>
      </c>
      <c r="H52" s="2" t="str">
        <f aca="false">HYPERLINK("https://www.google.com/maps/@?api=1&amp;map_action=pano&amp;viewpoint=41.382997412302,2.14941316766172","Open GSV")</f>
        <v>Open GSV</v>
      </c>
      <c r="I52" s="0" t="n">
        <v>0</v>
      </c>
      <c r="J52" s="0" t="n">
        <v>0</v>
      </c>
    </row>
    <row r="53" customFormat="false" ht="15" hidden="false" customHeight="false" outlineLevel="0" collapsed="false">
      <c r="A53" s="0" t="n">
        <v>50</v>
      </c>
      <c r="B53" s="0" t="s">
        <v>82</v>
      </c>
      <c r="C53" s="0" t="s">
        <v>63</v>
      </c>
      <c r="D53" s="0" t="s">
        <v>61</v>
      </c>
      <c r="E53" s="0" t="n">
        <v>2.15224954791407</v>
      </c>
      <c r="F53" s="0" t="n">
        <v>41.3809728507777</v>
      </c>
      <c r="G53" s="0" t="s">
        <v>167</v>
      </c>
      <c r="H53" s="2" t="str">
        <f aca="false">HYPERLINK("https://www.google.com/maps/@?api=1&amp;map_action=pano&amp;viewpoint=41.3809728507777,2.15224954791407","Open GSV")</f>
        <v>Open GSV</v>
      </c>
      <c r="I53" s="0" t="n">
        <v>1</v>
      </c>
      <c r="J53" s="0" t="n">
        <v>0</v>
      </c>
      <c r="K53" s="3" t="s">
        <v>168</v>
      </c>
    </row>
    <row r="54" customFormat="false" ht="15" hidden="false" customHeight="false" outlineLevel="0" collapsed="false">
      <c r="A54" s="0" t="n">
        <v>51</v>
      </c>
      <c r="B54" s="0" t="s">
        <v>82</v>
      </c>
      <c r="C54" s="0" t="s">
        <v>169</v>
      </c>
      <c r="D54" s="0" t="s">
        <v>61</v>
      </c>
      <c r="E54" s="0" t="n">
        <v>2.15347263795831</v>
      </c>
      <c r="F54" s="0" t="n">
        <v>41.3774580559653</v>
      </c>
      <c r="G54" s="0" t="s">
        <v>170</v>
      </c>
      <c r="H54" s="2" t="str">
        <f aca="false">HYPERLINK("https://www.google.com/maps/@?api=1&amp;map_action=pano&amp;viewpoint=41.3774580559653,2.15347263795831","Open GSV")</f>
        <v>Open GSV</v>
      </c>
      <c r="I54" s="0" t="n">
        <v>0</v>
      </c>
      <c r="J54" s="0" t="n">
        <v>0</v>
      </c>
    </row>
    <row r="55" customFormat="false" ht="15" hidden="false" customHeight="false" outlineLevel="0" collapsed="false">
      <c r="A55" s="0" t="n">
        <v>52</v>
      </c>
      <c r="B55" s="0" t="s">
        <v>82</v>
      </c>
      <c r="C55" s="0" t="s">
        <v>65</v>
      </c>
      <c r="D55" s="0" t="s">
        <v>61</v>
      </c>
      <c r="E55" s="0" t="n">
        <v>2.14826423736021</v>
      </c>
      <c r="F55" s="0" t="n">
        <v>41.3828585874194</v>
      </c>
      <c r="G55" s="0" t="s">
        <v>171</v>
      </c>
      <c r="H55" s="2" t="str">
        <f aca="false">HYPERLINK("https://www.google.com/maps/@?api=1&amp;map_action=pano&amp;viewpoint=41.3828585874194,2.14826423736021","Open GSV")</f>
        <v>Open GSV</v>
      </c>
      <c r="I55" s="0" t="n">
        <v>0</v>
      </c>
      <c r="J55" s="0" t="n">
        <v>0</v>
      </c>
    </row>
    <row r="56" customFormat="false" ht="15" hidden="false" customHeight="false" outlineLevel="0" collapsed="false">
      <c r="A56" s="0" t="n">
        <v>53</v>
      </c>
      <c r="B56" s="0" t="s">
        <v>82</v>
      </c>
      <c r="C56" s="0" t="s">
        <v>172</v>
      </c>
      <c r="D56" s="0" t="s">
        <v>61</v>
      </c>
      <c r="E56" s="0" t="n">
        <v>2.18912239496258</v>
      </c>
      <c r="F56" s="0" t="n">
        <v>41.3777345900509</v>
      </c>
      <c r="G56" s="0" t="s">
        <v>173</v>
      </c>
      <c r="H56" s="2" t="str">
        <f aca="false">HYPERLINK("https://www.google.com/maps/@?api=1&amp;map_action=pano&amp;viewpoint=41.3777345900509,2.18912239496258","Open GSV")</f>
        <v>Open GSV</v>
      </c>
      <c r="I56" s="0" t="n">
        <v>0</v>
      </c>
      <c r="J56" s="0" t="n">
        <v>0</v>
      </c>
    </row>
    <row r="57" customFormat="false" ht="15" hidden="false" customHeight="false" outlineLevel="0" collapsed="false">
      <c r="A57" s="0" t="n">
        <v>54</v>
      </c>
      <c r="B57" s="0" t="s">
        <v>82</v>
      </c>
      <c r="C57" s="0" t="s">
        <v>174</v>
      </c>
      <c r="D57" s="0" t="s">
        <v>61</v>
      </c>
      <c r="E57" s="0" t="n">
        <v>2.1592791307784</v>
      </c>
      <c r="F57" s="0" t="n">
        <v>41.3799261629063</v>
      </c>
      <c r="G57" s="0" t="s">
        <v>175</v>
      </c>
      <c r="H57" s="2" t="str">
        <f aca="false">HYPERLINK("https://www.google.com/maps/@?api=1&amp;map_action=pano&amp;viewpoint=41.3799261629063,2.1592791307784","Open GSV")</f>
        <v>Open GSV</v>
      </c>
      <c r="I57" s="0" t="n">
        <v>0</v>
      </c>
      <c r="J57" s="0" t="n">
        <v>0</v>
      </c>
    </row>
  </sheetData>
  <mergeCells count="1">
    <mergeCell ref="H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2025-10-14T15:09:09Z</dcterms:created>
  <dc:creator>eugeni</dc:creator>
  <dc:description/>
  <dc:language>en-GB</dc:language>
  <cp:lastModifiedBy>Eugeni Vidal Tortosa</cp:lastModifiedBy>
  <dcterms:modified xsi:type="dcterms:W3CDTF">2025-10-14T18:02:09Z</dcterms:modified>
  <cp:revision>4</cp:revision>
  <dc:subject/>
  <dc:title/>
</cp:coreProperties>
</file>