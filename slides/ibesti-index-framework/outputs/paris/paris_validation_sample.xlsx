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" sheetId="1" state="visible" r:id="rId1"/>
    <sheet name="validation_sample" sheetId="2" state="visible" r:id="rId2"/>
  </sheets>
</workbook>
</file>

<file path=xl/sharedStrings.xml><?xml version="1.0" encoding="utf-8"?>
<sst xmlns="http://schemas.openxmlformats.org/spreadsheetml/2006/main" count="552" uniqueCount="552">
  <si>
    <t xml:space="preserve">type</t>
  </si>
  <si>
    <t xml:space="preserve">n_total</t>
  </si>
  <si>
    <t xml:space="preserve">n_sample</t>
  </si>
  <si>
    <t xml:space="preserve">pedestrianisation</t>
  </si>
  <si>
    <t xml:space="preserve">living_street</t>
  </si>
  <si>
    <t xml:space="preserve">road_diet</t>
  </si>
  <si>
    <t xml:space="preserve">cycleway_added</t>
  </si>
  <si>
    <t xml:space="preserve">city</t>
  </si>
  <si>
    <t xml:space="preserve">seg_id</t>
  </si>
  <si>
    <t xml:space="preserve">street_name</t>
  </si>
  <si>
    <t xml:space="preserve">seg_len_m</t>
  </si>
  <si>
    <t xml:space="preserve">lon</t>
  </si>
  <si>
    <t xml:space="preserve">lat</t>
  </si>
  <si>
    <t xml:space="preserve">gsv_url</t>
  </si>
  <si>
    <t xml:space="preserve">gsv_link</t>
  </si>
  <si>
    <t xml:space="preserve">valid_change</t>
  </si>
  <si>
    <t xml:space="preserve">unclear</t>
  </si>
  <si>
    <t xml:space="preserve">comments</t>
  </si>
  <si>
    <t xml:space="preserve">paris</t>
  </si>
  <si>
    <t xml:space="preserve">ped_7</t>
  </si>
  <si>
    <t xml:space="preserve">Rue du Sommerard</t>
  </si>
  <si>
    <t xml:space="preserve">https://www.google.com/maps/@?api=1&amp;map_action=pano&amp;viewpoint=48.849924593913,2.34663767274449</t>
  </si>
  <si>
    <t xml:space="preserve"/>
  </si>
  <si>
    <t xml:space="preserve">ped_14</t>
  </si>
  <si>
    <t xml:space="preserve">Rue Boutebrie</t>
  </si>
  <si>
    <t xml:space="preserve">https://www.google.com/maps/@?api=1&amp;map_action=pano&amp;viewpoint=48.8514099371145,2.34464455732263</t>
  </si>
  <si>
    <t xml:space="preserve">ped_23</t>
  </si>
  <si>
    <t xml:space="preserve">Rue Guillaume Apollinaire</t>
  </si>
  <si>
    <t xml:space="preserve">https://www.google.com/maps/@?api=1&amp;map_action=pano&amp;viewpoint=48.8545797788813,2.33328200050629</t>
  </si>
  <si>
    <t xml:space="preserve">ped_26</t>
  </si>
  <si>
    <t xml:space="preserve">Rue Saint-Victor</t>
  </si>
  <si>
    <t xml:space="preserve">https://www.google.com/maps/@?api=1&amp;map_action=pano&amp;viewpoint=48.8481558904536,2.35119662653739</t>
  </si>
  <si>
    <t xml:space="preserve">ped_32</t>
  </si>
  <si>
    <t xml:space="preserve">Rue Pavée</t>
  </si>
  <si>
    <t xml:space="preserve">https://www.google.com/maps/@?api=1&amp;map_action=pano&amp;viewpoint=48.8570110809097,2.36157770791332</t>
  </si>
  <si>
    <t xml:space="preserve">ped_43</t>
  </si>
  <si>
    <t xml:space="preserve">Rue de Monceau</t>
  </si>
  <si>
    <t xml:space="preserve">https://www.google.com/maps/@?api=1&amp;map_action=pano&amp;viewpoint=48.8806144511907,2.31677707897177</t>
  </si>
  <si>
    <t xml:space="preserve">ped_50</t>
  </si>
  <si>
    <t xml:space="preserve">Rue Chaptal</t>
  </si>
  <si>
    <t xml:space="preserve">https://www.google.com/maps/@?api=1&amp;map_action=pano&amp;viewpoint=48.8806352357999,2.33415688946996</t>
  </si>
  <si>
    <t xml:space="preserve">ped_53</t>
  </si>
  <si>
    <t xml:space="preserve">Rue Audran</t>
  </si>
  <si>
    <t xml:space="preserve">https://www.google.com/maps/@?api=1&amp;map_action=pano&amp;viewpoint=48.8851463686131,2.33591799294527</t>
  </si>
  <si>
    <t xml:space="preserve">ped_72</t>
  </si>
  <si>
    <t xml:space="preserve">Rue Hittorf</t>
  </si>
  <si>
    <t xml:space="preserve">https://www.google.com/maps/@?api=1&amp;map_action=pano&amp;viewpoint=48.872023359951,2.35786291025099</t>
  </si>
  <si>
    <t xml:space="preserve">ped_74</t>
  </si>
  <si>
    <t xml:space="preserve">Rue de Tracy</t>
  </si>
  <si>
    <t xml:space="preserve">https://www.google.com/maps/@?api=1&amp;map_action=pano&amp;viewpoint=48.8680483322042,2.35269009007287</t>
  </si>
  <si>
    <t xml:space="preserve">ped_76</t>
  </si>
  <si>
    <t xml:space="preserve">Rue du Capitaine Lagache</t>
  </si>
  <si>
    <t xml:space="preserve">https://www.google.com/maps/@?api=1&amp;map_action=pano&amp;viewpoint=48.8921670314718,2.32548575108391</t>
  </si>
  <si>
    <t xml:space="preserve">ped_78</t>
  </si>
  <si>
    <t xml:space="preserve">Rue Tchaïkovski</t>
  </si>
  <si>
    <t xml:space="preserve">https://www.google.com/maps/@?api=1&amp;map_action=pano&amp;viewpoint=48.8942996843414,2.36471578939879</t>
  </si>
  <si>
    <t xml:space="preserve">ped_81</t>
  </si>
  <si>
    <t xml:space="preserve">Rue Adolphe-Jullien</t>
  </si>
  <si>
    <t xml:space="preserve">https://www.google.com/maps/@?api=1&amp;map_action=pano&amp;viewpoint=48.8629306197389,2.34204538464681</t>
  </si>
  <si>
    <t xml:space="preserve">ped_90</t>
  </si>
  <si>
    <t xml:space="preserve">Rue Jean Calvin</t>
  </si>
  <si>
    <t xml:space="preserve">https://www.google.com/maps/@?api=1&amp;map_action=pano&amp;viewpoint=48.8415312112179,2.34881174664174</t>
  </si>
  <si>
    <t xml:space="preserve">ped_91</t>
  </si>
  <si>
    <t xml:space="preserve">Impasse Oudinot</t>
  </si>
  <si>
    <t xml:space="preserve">https://www.google.com/maps/@?api=1&amp;map_action=pano&amp;viewpoint=48.8505494743714,2.31971697548333</t>
  </si>
  <si>
    <t xml:space="preserve">ped_92</t>
  </si>
  <si>
    <t xml:space="preserve">Rue Fénelon</t>
  </si>
  <si>
    <t xml:space="preserve">https://www.google.com/maps/@?api=1&amp;map_action=pano&amp;viewpoint=48.8790454878929,2.3515276514418</t>
  </si>
  <si>
    <t xml:space="preserve">ped_99</t>
  </si>
  <si>
    <t xml:space="preserve">Place de la Réunion</t>
  </si>
  <si>
    <t xml:space="preserve">https://www.google.com/maps/@?api=1&amp;map_action=pano&amp;viewpoint=48.8556051566955,2.40066095623215</t>
  </si>
  <si>
    <t xml:space="preserve">ped_103</t>
  </si>
  <si>
    <t xml:space="preserve">Rue Tandou</t>
  </si>
  <si>
    <t xml:space="preserve">https://www.google.com/maps/@?api=1&amp;map_action=pano&amp;viewpoint=48.8864521790615,2.38038502053626</t>
  </si>
  <si>
    <t xml:space="preserve">ped_109</t>
  </si>
  <si>
    <t xml:space="preserve">Route de la Ceinture du Lac Daumesnil</t>
  </si>
  <si>
    <t xml:space="preserve">https://www.google.com/maps/@?api=1&amp;map_action=pano&amp;viewpoint=48.8336815043126,2.40936923979642</t>
  </si>
  <si>
    <t xml:space="preserve">ped_117</t>
  </si>
  <si>
    <t xml:space="preserve">Avenue du Parc des Princes</t>
  </si>
  <si>
    <t xml:space="preserve">https://www.google.com/maps/@?api=1&amp;map_action=pano&amp;viewpoint=48.840374667011,2.25451585511692</t>
  </si>
  <si>
    <t xml:space="preserve">ped_118</t>
  </si>
  <si>
    <t xml:space="preserve">Avenue du Maréchal Fayolle</t>
  </si>
  <si>
    <t xml:space="preserve">https://www.google.com/maps/@?api=1&amp;map_action=pano&amp;viewpoint=48.8693482454658,2.27194023280894</t>
  </si>
  <si>
    <t xml:space="preserve">ped_135</t>
  </si>
  <si>
    <t xml:space="preserve">Rue du Château Landon</t>
  </si>
  <si>
    <t xml:space="preserve">https://www.google.com/maps/@?api=1&amp;map_action=pano&amp;viewpoint=48.8820706675324,2.36302018655079</t>
  </si>
  <si>
    <t xml:space="preserve">ped_137</t>
  </si>
  <si>
    <t xml:space="preserve">Rue Jean Quarré</t>
  </si>
  <si>
    <t xml:space="preserve">https://www.google.com/maps/@?api=1&amp;map_action=pano&amp;viewpoint=48.8769523502908,2.39758474983827</t>
  </si>
  <si>
    <t xml:space="preserve">ped_143</t>
  </si>
  <si>
    <t xml:space="preserve">Rue du Rocher</t>
  </si>
  <si>
    <t xml:space="preserve">https://www.google.com/maps/@?api=1&amp;map_action=pano&amp;viewpoint=48.8763290375513,2.32234590767651</t>
  </si>
  <si>
    <t xml:space="preserve">ped_153</t>
  </si>
  <si>
    <t xml:space="preserve">Place de la Sorbonne</t>
  </si>
  <si>
    <t xml:space="preserve">https://www.google.com/maps/@?api=1&amp;map_action=pano&amp;viewpoint=48.8486697767032,2.34258873713939</t>
  </si>
  <si>
    <t xml:space="preserve">ped_155</t>
  </si>
  <si>
    <t xml:space="preserve">Rue de l'Agent Bailly</t>
  </si>
  <si>
    <t xml:space="preserve">https://www.google.com/maps/@?api=1&amp;map_action=pano&amp;viewpoint=48.8784324495705,2.34197685146066</t>
  </si>
  <si>
    <t xml:space="preserve">ped_159</t>
  </si>
  <si>
    <t xml:space="preserve">Rue Jean-Pierre Timbaud</t>
  </si>
  <si>
    <t xml:space="preserve">https://www.google.com/maps/@?api=1&amp;map_action=pano&amp;viewpoint=48.8664807220858,2.37279016326646</t>
  </si>
  <si>
    <t xml:space="preserve">ped_164</t>
  </si>
  <si>
    <t xml:space="preserve">Rue Boissy d'Anglas</t>
  </si>
  <si>
    <t xml:space="preserve">https://www.google.com/maps/@?api=1&amp;map_action=pano&amp;viewpoint=48.8680098823775,2.32129524453907</t>
  </si>
  <si>
    <t xml:space="preserve">ped_166</t>
  </si>
  <si>
    <t xml:space="preserve">Place du Châtelet</t>
  </si>
  <si>
    <t xml:space="preserve">https://www.google.com/maps/@?api=1&amp;map_action=pano&amp;viewpoint=48.857594367371,2.34700444320789</t>
  </si>
  <si>
    <t xml:space="preserve">ped_169</t>
  </si>
  <si>
    <t xml:space="preserve">Rue Damesme</t>
  </si>
  <si>
    <t xml:space="preserve">https://www.google.com/maps/@?api=1&amp;map_action=pano&amp;viewpoint=48.8252813000475,2.35527965023388</t>
  </si>
  <si>
    <t xml:space="preserve">ped_170</t>
  </si>
  <si>
    <t xml:space="preserve">Rue Traversière</t>
  </si>
  <si>
    <t xml:space="preserve">https://www.google.com/maps/@?api=1&amp;map_action=pano&amp;viewpoint=48.8487015795088,2.3743817108478</t>
  </si>
  <si>
    <t xml:space="preserve">ped_179</t>
  </si>
  <si>
    <t xml:space="preserve">Rue Prisse d'Avennes</t>
  </si>
  <si>
    <t xml:space="preserve">https://www.google.com/maps/@?api=1&amp;map_action=pano&amp;viewpoint=48.8252121213405,2.32829308312782</t>
  </si>
  <si>
    <t xml:space="preserve">ped_185</t>
  </si>
  <si>
    <t xml:space="preserve">Rue Champollion</t>
  </si>
  <si>
    <t xml:space="preserve">https://www.google.com/maps/@?api=1&amp;map_action=pano&amp;viewpoint=48.8494726994906,2.34272348567567</t>
  </si>
  <si>
    <t xml:space="preserve">ped_188</t>
  </si>
  <si>
    <t xml:space="preserve">Rue de la Cour des Noues</t>
  </si>
  <si>
    <t xml:space="preserve">https://www.google.com/maps/@?api=1&amp;map_action=pano&amp;viewpoint=48.8643464937595,2.40100786776899</t>
  </si>
  <si>
    <t xml:space="preserve">ped_195</t>
  </si>
  <si>
    <t xml:space="preserve">Rue Mathis</t>
  </si>
  <si>
    <t xml:space="preserve">https://www.google.com/maps/@?api=1&amp;map_action=pano&amp;viewpoint=48.8907174001604,2.37576585013489</t>
  </si>
  <si>
    <t xml:space="preserve">ped_197</t>
  </si>
  <si>
    <t xml:space="preserve">Rue Vandrezanne</t>
  </si>
  <si>
    <t xml:space="preserve">https://www.google.com/maps/@?api=1&amp;map_action=pano&amp;viewpoint=48.8274516596103,2.35375421048746</t>
  </si>
  <si>
    <t xml:space="preserve">ped_203</t>
  </si>
  <si>
    <t xml:space="preserve">Rue du Docteur Lecène</t>
  </si>
  <si>
    <t xml:space="preserve">https://www.google.com/maps/@?api=1&amp;map_action=pano&amp;viewpoint=48.8225989031173,2.35348005436823</t>
  </si>
  <si>
    <t xml:space="preserve">ped_205</t>
  </si>
  <si>
    <t xml:space="preserve">Rue René Boulanger</t>
  </si>
  <si>
    <t xml:space="preserve">https://www.google.com/maps/@?api=1&amp;map_action=pano&amp;viewpoint=48.8684483543461,2.36050440401917</t>
  </si>
  <si>
    <t xml:space="preserve">ped_207</t>
  </si>
  <si>
    <t xml:space="preserve">Place Émile Landrin</t>
  </si>
  <si>
    <t xml:space="preserve">https://www.google.com/maps/@?api=1&amp;map_action=pano&amp;viewpoint=48.8640845648083,2.4004849795939</t>
  </si>
  <si>
    <t xml:space="preserve">ped_211</t>
  </si>
  <si>
    <t xml:space="preserve">Rue Pirandello</t>
  </si>
  <si>
    <t xml:space="preserve">https://www.google.com/maps/@?api=1&amp;map_action=pano&amp;viewpoint=48.8363821971067,2.35556090402688</t>
  </si>
  <si>
    <t xml:space="preserve">ped_221</t>
  </si>
  <si>
    <t xml:space="preserve">Rue Oberkampf</t>
  </si>
  <si>
    <t xml:space="preserve">https://www.google.com/maps/@?api=1&amp;map_action=pano&amp;viewpoint=48.8644582109291,2.37172245532239</t>
  </si>
  <si>
    <t xml:space="preserve">ped_222</t>
  </si>
  <si>
    <t xml:space="preserve">Rue de Saussure</t>
  </si>
  <si>
    <t xml:space="preserve">https://www.google.com/maps/@?api=1&amp;map_action=pano&amp;viewpoint=48.8876177887041,2.31153084563516</t>
  </si>
  <si>
    <t xml:space="preserve">ped_224</t>
  </si>
  <si>
    <t xml:space="preserve">Avenue Gustave V de Suède</t>
  </si>
  <si>
    <t xml:space="preserve">https://www.google.com/maps/@?api=1&amp;map_action=pano&amp;viewpoint=48.8614938612894,2.29019596964968</t>
  </si>
  <si>
    <t xml:space="preserve">ped_229</t>
  </si>
  <si>
    <t xml:space="preserve">Boulevard Masséna</t>
  </si>
  <si>
    <t xml:space="preserve">https://www.google.com/maps/@?api=1&amp;map_action=pano&amp;viewpoint=48.820410643588,2.36666421693699</t>
  </si>
  <si>
    <t xml:space="preserve">ped_234</t>
  </si>
  <si>
    <t xml:space="preserve">Rue de Viarmes</t>
  </si>
  <si>
    <t xml:space="preserve">https://www.google.com/maps/@?api=1&amp;map_action=pano&amp;viewpoint=48.8631779082285,2.34252770622483</t>
  </si>
  <si>
    <t xml:space="preserve">ped_239</t>
  </si>
  <si>
    <t xml:space="preserve">Axe de promenade</t>
  </si>
  <si>
    <t xml:space="preserve">https://www.google.com/maps/@?api=1&amp;map_action=pano&amp;viewpoint=48.8905483746445,2.38859526049192</t>
  </si>
  <si>
    <t xml:space="preserve">ped_240</t>
  </si>
  <si>
    <t xml:space="preserve">Rue Boucher</t>
  </si>
  <si>
    <t xml:space="preserve">https://www.google.com/maps/@?api=1&amp;map_action=pano&amp;viewpoint=48.8594971222883,2.34424200104511</t>
  </si>
  <si>
    <t xml:space="preserve">ped_241</t>
  </si>
  <si>
    <t xml:space="preserve">https://www.google.com/maps/@?api=1&amp;map_action=pano&amp;viewpoint=48.8314620860508,2.41681055688767</t>
  </si>
  <si>
    <t xml:space="preserve">ped_243</t>
  </si>
  <si>
    <t xml:space="preserve">Passage Sainte-Anne Popincourt</t>
  </si>
  <si>
    <t xml:space="preserve">https://www.google.com/maps/@?api=1&amp;map_action=pano&amp;viewpoint=48.8583200957992,2.37002780170121</t>
  </si>
  <si>
    <t xml:space="preserve">ped_245</t>
  </si>
  <si>
    <t xml:space="preserve">Rue Richomme</t>
  </si>
  <si>
    <t xml:space="preserve">https://www.google.com/maps/@?api=1&amp;map_action=pano&amp;viewpoint=48.8862516241006,2.3511626608031</t>
  </si>
  <si>
    <t xml:space="preserve">liv_4</t>
  </si>
  <si>
    <t xml:space="preserve">Rue Riesener</t>
  </si>
  <si>
    <t xml:space="preserve">https://www.google.com/maps/@?api=1&amp;map_action=pano&amp;viewpoint=48.8429592648945,2.38936767657361</t>
  </si>
  <si>
    <t xml:space="preserve">liv_6</t>
  </si>
  <si>
    <t xml:space="preserve">Rue Littré</t>
  </si>
  <si>
    <t xml:space="preserve">https://www.google.com/maps/@?api=1&amp;map_action=pano&amp;viewpoint=48.8453013546804,2.3240464220965</t>
  </si>
  <si>
    <t xml:space="preserve">liv_12</t>
  </si>
  <si>
    <t xml:space="preserve">Rue au Maire</t>
  </si>
  <si>
    <t xml:space="preserve">https://www.google.com/maps/@?api=1&amp;map_action=pano&amp;viewpoint=48.8644711488743,2.35733542264101</t>
  </si>
  <si>
    <t xml:space="preserve">liv_13</t>
  </si>
  <si>
    <t xml:space="preserve">Rue de Braque</t>
  </si>
  <si>
    <t xml:space="preserve">https://www.google.com/maps/@?api=1&amp;map_action=pano&amp;viewpoint=48.8609116399957,2.35677686885457</t>
  </si>
  <si>
    <t xml:space="preserve">liv_14</t>
  </si>
  <si>
    <t xml:space="preserve">Rue Barbette</t>
  </si>
  <si>
    <t xml:space="preserve">https://www.google.com/maps/@?api=1&amp;map_action=pano&amp;viewpoint=48.8588743634705,2.36069996730387</t>
  </si>
  <si>
    <t xml:space="preserve">liv_16</t>
  </si>
  <si>
    <t xml:space="preserve">Rue du Roi Doré</t>
  </si>
  <si>
    <t xml:space="preserve">https://www.google.com/maps/@?api=1&amp;map_action=pano&amp;viewpoint=48.8600920967929,2.36411210325492</t>
  </si>
  <si>
    <t xml:space="preserve">liv_21</t>
  </si>
  <si>
    <t xml:space="preserve">Rue Boudreau</t>
  </si>
  <si>
    <t xml:space="preserve">https://www.google.com/maps/@?api=1&amp;map_action=pano&amp;viewpoint=48.8722456915523,2.32904450161174</t>
  </si>
  <si>
    <t xml:space="preserve">liv_22</t>
  </si>
  <si>
    <t xml:space="preserve">Rue de Metz</t>
  </si>
  <si>
    <t xml:space="preserve">https://www.google.com/maps/@?api=1&amp;map_action=pano&amp;viewpoint=48.8707779895279,2.35414629149508</t>
  </si>
  <si>
    <t xml:space="preserve">liv_23</t>
  </si>
  <si>
    <t xml:space="preserve">Rue Auger</t>
  </si>
  <si>
    <t xml:space="preserve">https://www.google.com/maps/@?api=1&amp;map_action=pano&amp;viewpoint=48.8511290127186,2.39940198618381</t>
  </si>
  <si>
    <t xml:space="preserve">liv_25</t>
  </si>
  <si>
    <t xml:space="preserve">Rue Saint-Vincent de Paul</t>
  </si>
  <si>
    <t xml:space="preserve">https://www.google.com/maps/@?api=1&amp;map_action=pano&amp;viewpoint=48.880000243902,2.35221058399361</t>
  </si>
  <si>
    <t xml:space="preserve">liv_30</t>
  </si>
  <si>
    <t xml:space="preserve">Rue du Delta</t>
  </si>
  <si>
    <t xml:space="preserve">https://www.google.com/maps/@?api=1&amp;map_action=pano&amp;viewpoint=48.8824242473778,2.34819764872028</t>
  </si>
  <si>
    <t xml:space="preserve">liv_31</t>
  </si>
  <si>
    <t xml:space="preserve">Rue Coustou</t>
  </si>
  <si>
    <t xml:space="preserve">https://www.google.com/maps/@?api=1&amp;map_action=pano&amp;viewpoint=48.8837954448908,2.33413642380506</t>
  </si>
  <si>
    <t xml:space="preserve">liv_32</t>
  </si>
  <si>
    <t xml:space="preserve">Rue Puget</t>
  </si>
  <si>
    <t xml:space="preserve">https://www.google.com/maps/@?api=1&amp;map_action=pano&amp;viewpoint=48.8840191449703,2.33335523198302</t>
  </si>
  <si>
    <t xml:space="preserve">liv_34</t>
  </si>
  <si>
    <t xml:space="preserve">Rue du Soleil</t>
  </si>
  <si>
    <t xml:space="preserve">https://www.google.com/maps/@?api=1&amp;map_action=pano&amp;viewpoint=48.8739628363458,2.39557804361045</t>
  </si>
  <si>
    <t xml:space="preserve">liv_35</t>
  </si>
  <si>
    <t xml:space="preserve">Rue Jules Romains</t>
  </si>
  <si>
    <t xml:space="preserve">https://www.google.com/maps/@?api=1&amp;map_action=pano&amp;viewpoint=48.8733915497962,2.37800999149546</t>
  </si>
  <si>
    <t xml:space="preserve">liv_38</t>
  </si>
  <si>
    <t xml:space="preserve">Rue Léon-Maurice Nordmann</t>
  </si>
  <si>
    <t xml:space="preserve">https://www.google.com/maps/@?api=1&amp;map_action=pano&amp;viewpoint=48.8339554324555,2.34419110708597</t>
  </si>
  <si>
    <t xml:space="preserve">liv_39</t>
  </si>
  <si>
    <t xml:space="preserve">Rue Carcel</t>
  </si>
  <si>
    <t xml:space="preserve">https://www.google.com/maps/@?api=1&amp;map_action=pano&amp;viewpoint=48.840049878232,2.29900489472833</t>
  </si>
  <si>
    <t xml:space="preserve">liv_40</t>
  </si>
  <si>
    <t xml:space="preserve">Rue de Cherbourg</t>
  </si>
  <si>
    <t xml:space="preserve">https://www.google.com/maps/@?api=1&amp;map_action=pano&amp;viewpoint=48.8310843278222,2.30397288893021</t>
  </si>
  <si>
    <t xml:space="preserve">liv_41</t>
  </si>
  <si>
    <t xml:space="preserve">Rue Houdart</t>
  </si>
  <si>
    <t xml:space="preserve">https://www.google.com/maps/@?api=1&amp;map_action=pano&amp;viewpoint=48.8639124103517,2.38775803864298</t>
  </si>
  <si>
    <t xml:space="preserve">liv_50</t>
  </si>
  <si>
    <t xml:space="preserve">Rue Saint-Martin</t>
  </si>
  <si>
    <t xml:space="preserve">https://www.google.com/maps/@?api=1&amp;map_action=pano&amp;viewpoint=48.8657452667592,2.35332849893286</t>
  </si>
  <si>
    <t xml:space="preserve">liv_52</t>
  </si>
  <si>
    <t xml:space="preserve">Rue de Beaujolais</t>
  </si>
  <si>
    <t xml:space="preserve">https://www.google.com/maps/@?api=1&amp;map_action=pano&amp;viewpoint=48.866167893487,2.3383989055209</t>
  </si>
  <si>
    <t xml:space="preserve">liv_60</t>
  </si>
  <si>
    <t xml:space="preserve">Place Maubert</t>
  </si>
  <si>
    <t xml:space="preserve">https://www.google.com/maps/@?api=1&amp;map_action=pano&amp;viewpoint=48.8502725568032,2.34851025839197</t>
  </si>
  <si>
    <t xml:space="preserve">liv_63</t>
  </si>
  <si>
    <t xml:space="preserve">Rue François Miron</t>
  </si>
  <si>
    <t xml:space="preserve">https://www.google.com/maps/@?api=1&amp;map_action=pano&amp;viewpoint=48.8559268812272,2.3553161399499</t>
  </si>
  <si>
    <t xml:space="preserve">liv_64</t>
  </si>
  <si>
    <t xml:space="preserve">Rue Larochelle</t>
  </si>
  <si>
    <t xml:space="preserve">https://www.google.com/maps/@?api=1&amp;map_action=pano&amp;viewpoint=48.8394336603869,2.32349509927942</t>
  </si>
  <si>
    <t xml:space="preserve">liv_67</t>
  </si>
  <si>
    <t xml:space="preserve">https://www.google.com/maps/@?api=1&amp;map_action=pano&amp;viewpoint=48.8659412308436,2.37053272856072</t>
  </si>
  <si>
    <t xml:space="preserve">liv_69</t>
  </si>
  <si>
    <t xml:space="preserve">Rue Victor Segalen</t>
  </si>
  <si>
    <t xml:space="preserve">https://www.google.com/maps/@?api=1&amp;map_action=pano&amp;viewpoint=48.8603348266218,2.40600552948302</t>
  </si>
  <si>
    <t xml:space="preserve">liv_71</t>
  </si>
  <si>
    <t xml:space="preserve">Rue Le Marois</t>
  </si>
  <si>
    <t xml:space="preserve">https://www.google.com/maps/@?api=1&amp;map_action=pano&amp;viewpoint=48.8391082161822,2.261884401465</t>
  </si>
  <si>
    <t xml:space="preserve">liv_72</t>
  </si>
  <si>
    <t xml:space="preserve">Rue Jarry</t>
  </si>
  <si>
    <t xml:space="preserve">https://www.google.com/maps/@?api=1&amp;map_action=pano&amp;viewpoint=48.8739874217427,2.35602651682326</t>
  </si>
  <si>
    <t xml:space="preserve">liv_76</t>
  </si>
  <si>
    <t xml:space="preserve">Rue de Compiègne</t>
  </si>
  <si>
    <t xml:space="preserve">https://www.google.com/maps/@?api=1&amp;map_action=pano&amp;viewpoint=48.8798329279207,2.35350967675118</t>
  </si>
  <si>
    <t xml:space="preserve">liv_81</t>
  </si>
  <si>
    <t xml:space="preserve">Rue de la Mare</t>
  </si>
  <si>
    <t xml:space="preserve">https://www.google.com/maps/@?api=1&amp;map_action=pano&amp;viewpoint=48.872199239049,2.38980033849778</t>
  </si>
  <si>
    <t xml:space="preserve">liv_86</t>
  </si>
  <si>
    <t xml:space="preserve">Rue Édouard Lartet</t>
  </si>
  <si>
    <t xml:space="preserve">https://www.google.com/maps/@?api=1&amp;map_action=pano&amp;viewpoint=48.839834258701,2.41340558978278</t>
  </si>
  <si>
    <t xml:space="preserve">liv_87</t>
  </si>
  <si>
    <t xml:space="preserve">Square Alban Satragne</t>
  </si>
  <si>
    <t xml:space="preserve">https://www.google.com/maps/@?api=1&amp;map_action=pano&amp;viewpoint=48.8753892027067,2.35545406824594</t>
  </si>
  <si>
    <t xml:space="preserve">liv_89</t>
  </si>
  <si>
    <t xml:space="preserve">Rue du Forez</t>
  </si>
  <si>
    <t xml:space="preserve">https://www.google.com/maps/@?api=1&amp;map_action=pano&amp;viewpoint=48.8636637120974,2.36304766399656</t>
  </si>
  <si>
    <t xml:space="preserve">liv_90</t>
  </si>
  <si>
    <t xml:space="preserve">Rue de Coulmiers</t>
  </si>
  <si>
    <t xml:space="preserve">https://www.google.com/maps/@?api=1&amp;map_action=pano&amp;viewpoint=48.8251511270988,2.32252289303794</t>
  </si>
  <si>
    <t xml:space="preserve">liv_91</t>
  </si>
  <si>
    <t xml:space="preserve">Rue des Pavillons</t>
  </si>
  <si>
    <t xml:space="preserve">https://www.google.com/maps/@?api=1&amp;map_action=pano&amp;viewpoint=48.8730059946674,2.39670355792532</t>
  </si>
  <si>
    <t xml:space="preserve">liv_93</t>
  </si>
  <si>
    <t xml:space="preserve">Rue de Provence</t>
  </si>
  <si>
    <t xml:space="preserve">https://www.google.com/maps/@?api=1&amp;map_action=pano&amp;viewpoint=48.874272036988,2.33142349801922</t>
  </si>
  <si>
    <t xml:space="preserve">liv_94</t>
  </si>
  <si>
    <t xml:space="preserve">Rue des Halles</t>
  </si>
  <si>
    <t xml:space="preserve">https://www.google.com/maps/@?api=1&amp;map_action=pano&amp;viewpoint=48.8598196461287,2.34665998210752</t>
  </si>
  <si>
    <t xml:space="preserve">liv_95</t>
  </si>
  <si>
    <t xml:space="preserve">Rue de Belleville</t>
  </si>
  <si>
    <t xml:space="preserve">https://www.google.com/maps/@?api=1&amp;map_action=pano&amp;viewpoint=48.8755162133492,2.39658144426495</t>
  </si>
  <si>
    <t xml:space="preserve">liv_97</t>
  </si>
  <si>
    <t xml:space="preserve">https://www.google.com/maps/@?api=1&amp;map_action=pano&amp;viewpoint=48.8553790544891,2.40002757022659</t>
  </si>
  <si>
    <t xml:space="preserve">liv_100</t>
  </si>
  <si>
    <t xml:space="preserve">Rue du Jour</t>
  </si>
  <si>
    <t xml:space="preserve">https://www.google.com/maps/@?api=1&amp;map_action=pano&amp;viewpoint=48.8637735361586,2.34475112307242</t>
  </si>
  <si>
    <t xml:space="preserve">liv_107</t>
  </si>
  <si>
    <t xml:space="preserve">Rue de Saintonge</t>
  </si>
  <si>
    <t xml:space="preserve">https://www.google.com/maps/@?api=1&amp;map_action=pano&amp;viewpoint=48.8624262376148,2.36326092574172</t>
  </si>
  <si>
    <t xml:space="preserve">liv_109</t>
  </si>
  <si>
    <t xml:space="preserve">Rue de Brosse</t>
  </si>
  <si>
    <t xml:space="preserve">https://www.google.com/maps/@?api=1&amp;map_action=pano&amp;viewpoint=48.8553959027978,2.35396241137612</t>
  </si>
  <si>
    <t xml:space="preserve">liv_112</t>
  </si>
  <si>
    <t xml:space="preserve">https://www.google.com/maps/@?api=1&amp;map_action=pano&amp;viewpoint=48.8888697743429,2.39459116736204</t>
  </si>
  <si>
    <t xml:space="preserve">liv_113</t>
  </si>
  <si>
    <t xml:space="preserve">Passage des Mauxins</t>
  </si>
  <si>
    <t xml:space="preserve">https://www.google.com/maps/@?api=1&amp;map_action=pano&amp;viewpoint=48.8774997838426,2.40445394504507</t>
  </si>
  <si>
    <t xml:space="preserve">liv_116</t>
  </si>
  <si>
    <t xml:space="preserve">Rue du Général Archinard</t>
  </si>
  <si>
    <t xml:space="preserve">https://www.google.com/maps/@?api=1&amp;map_action=pano&amp;viewpoint=48.8380652797863,2.41159230671934</t>
  </si>
  <si>
    <t xml:space="preserve">liv_118</t>
  </si>
  <si>
    <t xml:space="preserve">Rue du Bac</t>
  </si>
  <si>
    <t xml:space="preserve">https://www.google.com/maps/@?api=1&amp;map_action=pano&amp;viewpoint=48.8554548925936,2.32505129297425</t>
  </si>
  <si>
    <t xml:space="preserve">liv_121</t>
  </si>
  <si>
    <t xml:space="preserve">Rue Ricaut</t>
  </si>
  <si>
    <t xml:space="preserve">https://www.google.com/maps/@?api=1&amp;map_action=pano&amp;viewpoint=48.8297477742731,2.36144440938946</t>
  </si>
  <si>
    <t xml:space="preserve">liv_138</t>
  </si>
  <si>
    <t xml:space="preserve">Rue Vicq d'Azir</t>
  </si>
  <si>
    <t xml:space="preserve">https://www.google.com/maps/@?api=1&amp;map_action=pano&amp;viewpoint=48.8761333515295,2.37152604100143</t>
  </si>
  <si>
    <t xml:space="preserve">liv_139</t>
  </si>
  <si>
    <t xml:space="preserve">Rue du Faubourg Saint-Denis</t>
  </si>
  <si>
    <t xml:space="preserve">https://www.google.com/maps/@?api=1&amp;map_action=pano&amp;viewpoint=48.8736101564646,2.35490882557171</t>
  </si>
  <si>
    <t xml:space="preserve">liv_140</t>
  </si>
  <si>
    <t xml:space="preserve">Rue Léon</t>
  </si>
  <si>
    <t xml:space="preserve">https://www.google.com/maps/@?api=1&amp;map_action=pano&amp;viewpoint=48.8880500149221,2.35352741107674</t>
  </si>
  <si>
    <t xml:space="preserve">rd_1</t>
  </si>
  <si>
    <t xml:space="preserve">Boulevard Suchet</t>
  </si>
  <si>
    <t xml:space="preserve">https://www.google.com/maps/@?api=1&amp;map_action=pano&amp;viewpoint=48.8487241601981,2.25922035541432</t>
  </si>
  <si>
    <t xml:space="preserve">rd_5</t>
  </si>
  <si>
    <t xml:space="preserve">Boulevard Pershing</t>
  </si>
  <si>
    <t xml:space="preserve">https://www.google.com/maps/@?api=1&amp;map_action=pano&amp;viewpoint=48.8814044348366,2.2849015892364</t>
  </si>
  <si>
    <t xml:space="preserve">rd_16</t>
  </si>
  <si>
    <t xml:space="preserve">Avenue de la Porte de La Chapelle</t>
  </si>
  <si>
    <t xml:space="preserve">https://www.google.com/maps/@?api=1&amp;map_action=pano&amp;viewpoint=48.8997982000065,2.35936694998128</t>
  </si>
  <si>
    <t xml:space="preserve">rd_17</t>
  </si>
  <si>
    <t xml:space="preserve">https://www.google.com/maps/@?api=1&amp;map_action=pano&amp;viewpoint=48.900960869026,2.35964154920087</t>
  </si>
  <si>
    <t xml:space="preserve">rd_20</t>
  </si>
  <si>
    <t xml:space="preserve">Pont du Carrousel</t>
  </si>
  <si>
    <t xml:space="preserve">https://www.google.com/maps/@?api=1&amp;map_action=pano&amp;viewpoint=48.8600294483374,2.3333097063577</t>
  </si>
  <si>
    <t xml:space="preserve">rd_21</t>
  </si>
  <si>
    <t xml:space="preserve">Rue du Renard</t>
  </si>
  <si>
    <t xml:space="preserve">https://www.google.com/maps/@?api=1&amp;map_action=pano&amp;viewpoint=48.8589033518656,2.35220648658822</t>
  </si>
  <si>
    <t xml:space="preserve">rd_24</t>
  </si>
  <si>
    <t xml:space="preserve">Rue de Bercy</t>
  </si>
  <si>
    <t xml:space="preserve">https://www.google.com/maps/@?api=1&amp;map_action=pano&amp;viewpoint=48.8418168658893,2.37699984651881</t>
  </si>
  <si>
    <t xml:space="preserve">rd_30</t>
  </si>
  <si>
    <t xml:space="preserve">Avenue d'Iéna</t>
  </si>
  <si>
    <t xml:space="preserve">https://www.google.com/maps/@?api=1&amp;map_action=pano&amp;viewpoint=48.8643090211183,2.29339729321932</t>
  </si>
  <si>
    <t xml:space="preserve">rd_32</t>
  </si>
  <si>
    <t xml:space="preserve">Quai d'Issy-les-Moulineaux</t>
  </si>
  <si>
    <t xml:space="preserve">https://www.google.com/maps/@?api=1&amp;map_action=pano&amp;viewpoint=48.8367233068937,2.26781258789192</t>
  </si>
  <si>
    <t xml:space="preserve">rd_39</t>
  </si>
  <si>
    <t xml:space="preserve">Place du Général Kœnig</t>
  </si>
  <si>
    <t xml:space="preserve">https://www.google.com/maps/@?api=1&amp;map_action=pano&amp;viewpoint=48.880791304178,2.2846906042237</t>
  </si>
  <si>
    <t xml:space="preserve">rd_46</t>
  </si>
  <si>
    <t xml:space="preserve">Place du Colonel Fabien</t>
  </si>
  <si>
    <t xml:space="preserve">https://www.google.com/maps/@?api=1&amp;map_action=pano&amp;viewpoint=48.8784281213501,2.37028487491972</t>
  </si>
  <si>
    <t xml:space="preserve">rd_48</t>
  </si>
  <si>
    <t xml:space="preserve">Place Denfert-Rochereau</t>
  </si>
  <si>
    <t xml:space="preserve">https://www.google.com/maps/@?api=1&amp;map_action=pano&amp;viewpoint=48.8339480289856,2.33342131410909</t>
  </si>
  <si>
    <t xml:space="preserve">rd_51</t>
  </si>
  <si>
    <t xml:space="preserve">https://www.google.com/maps/@?api=1&amp;map_action=pano&amp;viewpoint=48.8784194502349,2.28047319876762</t>
  </si>
  <si>
    <t xml:space="preserve">rd_54</t>
  </si>
  <si>
    <t xml:space="preserve">Rue du Chemin Vert</t>
  </si>
  <si>
    <t xml:space="preserve">https://www.google.com/maps/@?api=1&amp;map_action=pano&amp;viewpoint=48.8592621672338,2.37532109028204</t>
  </si>
  <si>
    <t xml:space="preserve">rd_55</t>
  </si>
  <si>
    <t xml:space="preserve">Rue Mirabeau</t>
  </si>
  <si>
    <t xml:space="preserve">https://www.google.com/maps/@?api=1&amp;map_action=pano&amp;viewpoint=48.8454054501326,2.26722031368643</t>
  </si>
  <si>
    <t xml:space="preserve">rd_70</t>
  </si>
  <si>
    <t xml:space="preserve">Boulevard Haussmann</t>
  </si>
  <si>
    <t xml:space="preserve">https://www.google.com/maps/@?api=1&amp;map_action=pano&amp;viewpoint=48.87496460069,2.31802644136026</t>
  </si>
  <si>
    <t xml:space="preserve">rd_74</t>
  </si>
  <si>
    <t xml:space="preserve">https://www.google.com/maps/@?api=1&amp;map_action=pano&amp;viewpoint=48.8735064883978,2.32894269274356</t>
  </si>
  <si>
    <t xml:space="preserve">rd_75</t>
  </si>
  <si>
    <t xml:space="preserve">Rue de Saint-Pétersbourg</t>
  </si>
  <si>
    <t xml:space="preserve">https://www.google.com/maps/@?api=1&amp;map_action=pano&amp;viewpoint=48.8828307910471,2.32646522373017</t>
  </si>
  <si>
    <t xml:space="preserve">rd_77</t>
  </si>
  <si>
    <t xml:space="preserve">Avenue de la Porte de Choisy</t>
  </si>
  <si>
    <t xml:space="preserve">https://www.google.com/maps/@?api=1&amp;map_action=pano&amp;viewpoint=48.8182925297947,2.36601849891466</t>
  </si>
  <si>
    <t xml:space="preserve">rd_79</t>
  </si>
  <si>
    <t xml:space="preserve">Rue Émile Deutsch de la Meurthe</t>
  </si>
  <si>
    <t xml:space="preserve">https://www.google.com/maps/@?api=1&amp;map_action=pano&amp;viewpoint=48.8219918025139,2.33473026617865</t>
  </si>
  <si>
    <t xml:space="preserve">rd_83</t>
  </si>
  <si>
    <t xml:space="preserve">https://www.google.com/maps/@?api=1&amp;map_action=pano&amp;viewpoint=48.8793735413517,2.28182638920317</t>
  </si>
  <si>
    <t xml:space="preserve">rd_85</t>
  </si>
  <si>
    <t xml:space="preserve">Rue Belgrand</t>
  </si>
  <si>
    <t xml:space="preserve">https://www.google.com/maps/@?api=1&amp;map_action=pano&amp;viewpoint=48.8647528364165,2.40273175284854</t>
  </si>
  <si>
    <t xml:space="preserve">rd_88</t>
  </si>
  <si>
    <t xml:space="preserve">Rue Abel</t>
  </si>
  <si>
    <t xml:space="preserve">https://www.google.com/maps/@?api=1&amp;map_action=pano&amp;viewpoint=48.8472331484544,2.37523230037234</t>
  </si>
  <si>
    <t xml:space="preserve">rd_94</t>
  </si>
  <si>
    <t xml:space="preserve">https://www.google.com/maps/@?api=1&amp;map_action=pano&amp;viewpoint=48.8781454000069,2.37065530002883</t>
  </si>
  <si>
    <t xml:space="preserve">rd_98</t>
  </si>
  <si>
    <t xml:space="preserve">Rue de Rivoli</t>
  </si>
  <si>
    <t xml:space="preserve">https://www.google.com/maps/@?api=1&amp;map_action=pano&amp;viewpoint=48.860719487095,2.34140174521813</t>
  </si>
  <si>
    <t xml:space="preserve">rd_102</t>
  </si>
  <si>
    <t xml:space="preserve">https://www.google.com/maps/@?api=1&amp;map_action=pano&amp;viewpoint=48.873856671947,2.32633633958539</t>
  </si>
  <si>
    <t xml:space="preserve">rd_106</t>
  </si>
  <si>
    <t xml:space="preserve">Place de la Porte de Saint-Cloud</t>
  </si>
  <si>
    <t xml:space="preserve">https://www.google.com/maps/@?api=1&amp;map_action=pano&amp;viewpoint=48.8379037973233,2.25638557730787</t>
  </si>
  <si>
    <t xml:space="preserve">rd_107</t>
  </si>
  <si>
    <t xml:space="preserve">Place Félix Éboué</t>
  </si>
  <si>
    <t xml:space="preserve">https://www.google.com/maps/@?api=1&amp;map_action=pano&amp;viewpoint=48.8397898006461,2.39585113621173</t>
  </si>
  <si>
    <t xml:space="preserve">rd_110</t>
  </si>
  <si>
    <t xml:space="preserve">Boulevard de Reuilly</t>
  </si>
  <si>
    <t xml:space="preserve">https://www.google.com/maps/@?api=1&amp;map_action=pano&amp;viewpoint=48.8395701528866,2.39710392124042</t>
  </si>
  <si>
    <t xml:space="preserve">rd_111</t>
  </si>
  <si>
    <t xml:space="preserve">https://www.google.com/maps/@?api=1&amp;map_action=pano&amp;viewpoint=48.8375260171283,2.25723039165073</t>
  </si>
  <si>
    <t xml:space="preserve">rd_113</t>
  </si>
  <si>
    <t xml:space="preserve">Avenue du Tremblay</t>
  </si>
  <si>
    <t xml:space="preserve">https://www.google.com/maps/@?api=1&amp;map_action=pano&amp;viewpoint=48.838573541977,2.45124964953486</t>
  </si>
  <si>
    <t xml:space="preserve">rd_122</t>
  </si>
  <si>
    <t xml:space="preserve">Boulevard Saint-Jacques</t>
  </si>
  <si>
    <t xml:space="preserve">https://www.google.com/maps/@?api=1&amp;map_action=pano&amp;viewpoint=48.8319670505173,2.33991010063889</t>
  </si>
  <si>
    <t xml:space="preserve">rd_127</t>
  </si>
  <si>
    <t xml:space="preserve">Boulevard Jourdan</t>
  </si>
  <si>
    <t xml:space="preserve">https://www.google.com/maps/@?api=1&amp;map_action=pano&amp;viewpoint=48.8201136695878,2.33924803490481</t>
  </si>
  <si>
    <t xml:space="preserve">rd_135</t>
  </si>
  <si>
    <t xml:space="preserve">https://www.google.com/maps/@?api=1&amp;map_action=pano&amp;viewpoint=48.8383253566501,2.25720244833965</t>
  </si>
  <si>
    <t xml:space="preserve">rd_136</t>
  </si>
  <si>
    <t xml:space="preserve">https://www.google.com/maps/@?api=1&amp;map_action=pano&amp;viewpoint=48.8340470742389,2.3335993069749</t>
  </si>
  <si>
    <t xml:space="preserve">rd_137</t>
  </si>
  <si>
    <t xml:space="preserve">https://www.google.com/maps/@?api=1&amp;map_action=pano&amp;viewpoint=48.8736951500856,2.32752400005258</t>
  </si>
  <si>
    <t xml:space="preserve">rd_139</t>
  </si>
  <si>
    <t xml:space="preserve">Avenue André Rivoire</t>
  </si>
  <si>
    <t xml:space="preserve">https://www.google.com/maps/@?api=1&amp;map_action=pano&amp;viewpoint=48.8195745398061,2.33346377551776</t>
  </si>
  <si>
    <t xml:space="preserve">rd_141</t>
  </si>
  <si>
    <t xml:space="preserve">Quai de Grenelle</t>
  </si>
  <si>
    <t xml:space="preserve">https://www.google.com/maps/@?api=1&amp;map_action=pano&amp;viewpoint=48.8540401246307,2.28817263705791</t>
  </si>
  <si>
    <t xml:space="preserve">rd_142</t>
  </si>
  <si>
    <t xml:space="preserve">Boulevard Thierry de Martel</t>
  </si>
  <si>
    <t xml:space="preserve">https://www.google.com/maps/@?api=1&amp;map_action=pano&amp;viewpoint=48.8753755251672,2.27893223221017</t>
  </si>
  <si>
    <t xml:space="preserve">rd_143</t>
  </si>
  <si>
    <t xml:space="preserve">https://www.google.com/maps/@?api=1&amp;map_action=pano&amp;viewpoint=48.8808738017416,2.28478585199221</t>
  </si>
  <si>
    <t xml:space="preserve">rd_144</t>
  </si>
  <si>
    <t xml:space="preserve">Avenue des Ternes</t>
  </si>
  <si>
    <t xml:space="preserve">https://www.google.com/maps/@?api=1&amp;map_action=pano&amp;viewpoint=48.8804281500847,2.28649045008796</t>
  </si>
  <si>
    <t xml:space="preserve">rd_149</t>
  </si>
  <si>
    <t xml:space="preserve">Rue Saint-Jacques</t>
  </si>
  <si>
    <t xml:space="preserve">https://www.google.com/maps/@?api=1&amp;map_action=pano&amp;viewpoint=48.8470851093438,2.343457209162</t>
  </si>
  <si>
    <t xml:space="preserve">rd_151</t>
  </si>
  <si>
    <t xml:space="preserve">Avenue Paul Doumer</t>
  </si>
  <si>
    <t xml:space="preserve">https://www.google.com/maps/@?api=1&amp;map_action=pano&amp;viewpoint=48.8585012774804,2.27542284357673</t>
  </si>
  <si>
    <t xml:space="preserve">rd_155</t>
  </si>
  <si>
    <t xml:space="preserve">https://www.google.com/maps/@?api=1&amp;map_action=pano&amp;viewpoint=48.8335148870753,2.3342978744456</t>
  </si>
  <si>
    <t xml:space="preserve">rd_158</t>
  </si>
  <si>
    <t xml:space="preserve">https://www.google.com/maps/@?api=1&amp;map_action=pano&amp;viewpoint=48.8576313576443,2.34772477767902</t>
  </si>
  <si>
    <t xml:space="preserve">rd_160</t>
  </si>
  <si>
    <t xml:space="preserve">Boulevard du Montparnasse</t>
  </si>
  <si>
    <t xml:space="preserve">https://www.google.com/maps/@?api=1&amp;map_action=pano&amp;viewpoint=48.8467505192936,2.31670241653461</t>
  </si>
  <si>
    <t xml:space="preserve">rd_162</t>
  </si>
  <si>
    <t xml:space="preserve">Rue Saint-Amand</t>
  </si>
  <si>
    <t xml:space="preserve">https://www.google.com/maps/@?api=1&amp;map_action=pano&amp;viewpoint=48.8346743496493,2.30825972490247</t>
  </si>
  <si>
    <t xml:space="preserve">rd_165</t>
  </si>
  <si>
    <t xml:space="preserve">https://www.google.com/maps/@?api=1&amp;map_action=pano&amp;viewpoint=48.817502536222,2.36662243224416</t>
  </si>
  <si>
    <t xml:space="preserve">rd_169</t>
  </si>
  <si>
    <t xml:space="preserve">Rue d'Amsterdam</t>
  </si>
  <si>
    <t xml:space="preserve">https://www.google.com/maps/@?api=1&amp;map_action=pano&amp;viewpoint=48.8788147880598,2.32698512324966</t>
  </si>
  <si>
    <t xml:space="preserve">rd_174</t>
  </si>
  <si>
    <t xml:space="preserve">Rue de Clichy</t>
  </si>
  <si>
    <t xml:space="preserve">https://www.google.com/maps/@?api=1&amp;map_action=pano&amp;viewpoint=48.8829170235962,2.32770346824543</t>
  </si>
  <si>
    <t xml:space="preserve">cyc_40</t>
  </si>
  <si>
    <t xml:space="preserve">https://www.google.com/maps/@?api=1&amp;map_action=pano&amp;viewpoint=48.8718686976468,2.36965995167994</t>
  </si>
  <si>
    <t xml:space="preserve">cyc_52</t>
  </si>
  <si>
    <t xml:space="preserve">https://www.google.com/maps/@?api=1&amp;map_action=pano&amp;viewpoint=48.8751228586976,2.31734203335731</t>
  </si>
  <si>
    <t xml:space="preserve">cyc_54</t>
  </si>
  <si>
    <t xml:space="preserve">https://www.google.com/maps/@?api=1&amp;map_action=pano&amp;viewpoint=48.86440593932,2.30432519211843</t>
  </si>
  <si>
    <t xml:space="preserve">cyc_84</t>
  </si>
  <si>
    <t xml:space="preserve">https://www.google.com/maps/@?api=1&amp;map_action=pano&amp;viewpoint=48.8636078551793,2.38308204772228</t>
  </si>
  <si>
    <t xml:space="preserve">cyc_125</t>
  </si>
  <si>
    <t xml:space="preserve">https://www.google.com/maps/@?api=1&amp;map_action=pano&amp;viewpoint=48.8780594701056,2.40874245388878</t>
  </si>
  <si>
    <t xml:space="preserve">cyc_152</t>
  </si>
  <si>
    <t xml:space="preserve">https://www.google.com/maps/@?api=1&amp;map_action=pano&amp;viewpoint=48.838008368861,2.39029131602473</t>
  </si>
  <si>
    <t xml:space="preserve">cyc_164</t>
  </si>
  <si>
    <t xml:space="preserve">https://www.google.com/maps/@?api=1&amp;map_action=pano&amp;viewpoint=48.8842128011081,2.28911854817876</t>
  </si>
  <si>
    <t xml:space="preserve">cyc_177</t>
  </si>
  <si>
    <t xml:space="preserve">https://www.google.com/maps/@?api=1&amp;map_action=pano&amp;viewpoint=48.8758872515038,2.2880183521832</t>
  </si>
  <si>
    <t xml:space="preserve">cyc_186</t>
  </si>
  <si>
    <t xml:space="preserve">https://www.google.com/maps/@?api=1&amp;map_action=pano&amp;viewpoint=48.8755918490042,2.28895270922773</t>
  </si>
  <si>
    <t xml:space="preserve">cyc_195</t>
  </si>
  <si>
    <t xml:space="preserve">https://www.google.com/maps/@?api=1&amp;map_action=pano&amp;viewpoint=48.8775456431414,2.40748304608553</t>
  </si>
  <si>
    <t xml:space="preserve">cyc_200</t>
  </si>
  <si>
    <t xml:space="preserve">https://www.google.com/maps/@?api=1&amp;map_action=pano&amp;viewpoint=48.8344055852183,2.39386758208739</t>
  </si>
  <si>
    <t xml:space="preserve">cyc_235</t>
  </si>
  <si>
    <t xml:space="preserve">https://www.google.com/maps/@?api=1&amp;map_action=pano&amp;viewpoint=48.8722793633163,2.33843458866288</t>
  </si>
  <si>
    <t xml:space="preserve">cyc_250</t>
  </si>
  <si>
    <t xml:space="preserve">https://www.google.com/maps/@?api=1&amp;map_action=pano&amp;viewpoint=48.853116402922,2.34391918071646</t>
  </si>
  <si>
    <t xml:space="preserve">cyc_252</t>
  </si>
  <si>
    <t xml:space="preserve">https://www.google.com/maps/@?api=1&amp;map_action=pano&amp;viewpoint=48.8359564779927,2.35893952111631</t>
  </si>
  <si>
    <t xml:space="preserve">cyc_265</t>
  </si>
  <si>
    <t xml:space="preserve">https://www.google.com/maps/@?api=1&amp;map_action=pano&amp;viewpoint=48.8754299755305,2.31980042123015</t>
  </si>
  <si>
    <t xml:space="preserve">cyc_289</t>
  </si>
  <si>
    <t xml:space="preserve">https://www.google.com/maps/@?api=1&amp;map_action=pano&amp;viewpoint=48.8864066058755,2.39526818720474</t>
  </si>
  <si>
    <t xml:space="preserve">cyc_302</t>
  </si>
  <si>
    <t xml:space="preserve">https://www.google.com/maps/@?api=1&amp;map_action=pano&amp;viewpoint=48.8835115338931,2.37688032798986</t>
  </si>
  <si>
    <t xml:space="preserve">cyc_381</t>
  </si>
  <si>
    <t xml:space="preserve">https://www.google.com/maps/@?api=1&amp;map_action=pano&amp;viewpoint=48.8293965515541,2.35745657145886</t>
  </si>
  <si>
    <t xml:space="preserve">cyc_392</t>
  </si>
  <si>
    <t xml:space="preserve">https://www.google.com/maps/@?api=1&amp;map_action=pano&amp;viewpoint=48.8878745001539,2.29500694955374</t>
  </si>
  <si>
    <t xml:space="preserve">cyc_398</t>
  </si>
  <si>
    <t xml:space="preserve">https://www.google.com/maps/@?api=1&amp;map_action=pano&amp;viewpoint=48.8510231075268,2.4157792193515</t>
  </si>
  <si>
    <t xml:space="preserve">cyc_428</t>
  </si>
  <si>
    <t xml:space="preserve">https://www.google.com/maps/@?api=1&amp;map_action=pano&amp;viewpoint=48.8989420280308,2.34430278223574</t>
  </si>
  <si>
    <t xml:space="preserve">cyc_429</t>
  </si>
  <si>
    <t xml:space="preserve">https://www.google.com/maps/@?api=1&amp;map_action=pano&amp;viewpoint=48.9000525534269,2.34426150015625</t>
  </si>
  <si>
    <t xml:space="preserve">cyc_430</t>
  </si>
  <si>
    <t xml:space="preserve">https://www.google.com/maps/@?api=1&amp;map_action=pano&amp;viewpoint=48.9009356693727,2.34432365184112</t>
  </si>
  <si>
    <t xml:space="preserve">cyc_458</t>
  </si>
  <si>
    <t xml:space="preserve">https://www.google.com/maps/@?api=1&amp;map_action=pano&amp;viewpoint=48.8716226898568,2.38919798198254</t>
  </si>
  <si>
    <t xml:space="preserve">cyc_473</t>
  </si>
  <si>
    <t xml:space="preserve">https://www.google.com/maps/@?api=1&amp;map_action=pano&amp;viewpoint=48.8332863681543,2.31019505791782</t>
  </si>
  <si>
    <t xml:space="preserve">cyc_522</t>
  </si>
  <si>
    <t xml:space="preserve">https://www.google.com/maps/@?api=1&amp;map_action=pano&amp;viewpoint=48.8875422440853,2.2967121144502</t>
  </si>
  <si>
    <t xml:space="preserve">cyc_523</t>
  </si>
  <si>
    <t xml:space="preserve">https://www.google.com/maps/@?api=1&amp;map_action=pano&amp;viewpoint=48.8875202172686,2.29614719407419</t>
  </si>
  <si>
    <t xml:space="preserve">cyc_528</t>
  </si>
  <si>
    <t xml:space="preserve">https://www.google.com/maps/@?api=1&amp;map_action=pano&amp;viewpoint=48.8870860216641,2.2979316341937</t>
  </si>
  <si>
    <t xml:space="preserve">cyc_534</t>
  </si>
  <si>
    <t xml:space="preserve">https://www.google.com/maps/@?api=1&amp;map_action=pano&amp;viewpoint=48.8859288500813,2.29182064977603</t>
  </si>
  <si>
    <t xml:space="preserve">cyc_538</t>
  </si>
  <si>
    <t xml:space="preserve">https://www.google.com/maps/@?api=1&amp;map_action=pano&amp;viewpoint=48.8848057928917,2.29007145258226</t>
  </si>
  <si>
    <t xml:space="preserve">cyc_545</t>
  </si>
  <si>
    <t xml:space="preserve">https://www.google.com/maps/@?api=1&amp;map_action=pano&amp;viewpoint=48.8859055403345,2.29227667196941</t>
  </si>
  <si>
    <t xml:space="preserve">cyc_554</t>
  </si>
  <si>
    <t xml:space="preserve">https://www.google.com/maps/@?api=1&amp;map_action=pano&amp;viewpoint=48.8394101313608,2.39670401241914</t>
  </si>
  <si>
    <t xml:space="preserve">cyc_573</t>
  </si>
  <si>
    <t xml:space="preserve">https://www.google.com/maps/@?api=1&amp;map_action=pano&amp;viewpoint=48.8329097494787,2.3471275773675</t>
  </si>
  <si>
    <t xml:space="preserve">cyc_589</t>
  </si>
  <si>
    <t xml:space="preserve">https://www.google.com/maps/@?api=1&amp;map_action=pano&amp;viewpoint=48.8709202829983,2.31893977814572</t>
  </si>
  <si>
    <t xml:space="preserve">cyc_597</t>
  </si>
  <si>
    <t xml:space="preserve">https://www.google.com/maps/@?api=1&amp;map_action=pano&amp;viewpoint=48.8795680386766,2.35026073665183</t>
  </si>
  <si>
    <t xml:space="preserve">cyc_619</t>
  </si>
  <si>
    <t xml:space="preserve">https://www.google.com/maps/@?api=1&amp;map_action=pano&amp;viewpoint=48.8328923730255,2.38098118093035</t>
  </si>
  <si>
    <t xml:space="preserve">cyc_633</t>
  </si>
  <si>
    <t xml:space="preserve">https://www.google.com/maps/@?api=1&amp;map_action=pano&amp;viewpoint=48.8532716498948,2.34336929997465</t>
  </si>
  <si>
    <t xml:space="preserve">cyc_672</t>
  </si>
  <si>
    <t xml:space="preserve">https://www.google.com/maps/@?api=1&amp;map_action=pano&amp;viewpoint=48.875685229336,2.30694083694499</t>
  </si>
  <si>
    <t xml:space="preserve">cyc_706</t>
  </si>
  <si>
    <t xml:space="preserve">https://www.google.com/maps/@?api=1&amp;map_action=pano&amp;viewpoint=48.8749672484985,2.37878622162812</t>
  </si>
  <si>
    <t xml:space="preserve">cyc_710</t>
  </si>
  <si>
    <t xml:space="preserve">https://www.google.com/maps/@?api=1&amp;map_action=pano&amp;viewpoint=48.8539037853413,2.39420265587753</t>
  </si>
  <si>
    <t xml:space="preserve">cyc_712</t>
  </si>
  <si>
    <t xml:space="preserve">https://www.google.com/maps/@?api=1&amp;map_action=pano&amp;viewpoint=48.8716518929194,2.32266995069492</t>
  </si>
  <si>
    <t xml:space="preserve">cyc_761</t>
  </si>
  <si>
    <t xml:space="preserve">https://www.google.com/maps/@?api=1&amp;map_action=pano&amp;viewpoint=48.8748897795837,2.37127210938467</t>
  </si>
  <si>
    <t xml:space="preserve">cyc_775</t>
  </si>
  <si>
    <t xml:space="preserve">https://www.google.com/maps/@?api=1&amp;map_action=pano&amp;viewpoint=48.870253804874,2.33247214779604</t>
  </si>
  <si>
    <t xml:space="preserve">cyc_804</t>
  </si>
  <si>
    <t xml:space="preserve">https://www.google.com/maps/@?api=1&amp;map_action=pano&amp;viewpoint=48.8443753877764,2.32435910485833</t>
  </si>
  <si>
    <t xml:space="preserve">cyc_827</t>
  </si>
  <si>
    <t xml:space="preserve">https://www.google.com/maps/@?api=1&amp;map_action=pano&amp;viewpoint=48.8805902500815,2.28058324996742</t>
  </si>
  <si>
    <t xml:space="preserve">cyc_831</t>
  </si>
  <si>
    <t xml:space="preserve">https://www.google.com/maps/@?api=1&amp;map_action=pano&amp;viewpoint=48.8676236073607,2.37562565734811</t>
  </si>
  <si>
    <t xml:space="preserve">cyc_861</t>
  </si>
  <si>
    <t xml:space="preserve">https://www.google.com/maps/@?api=1&amp;map_action=pano&amp;viewpoint=48.8697842031389,2.29832874266652</t>
  </si>
  <si>
    <t xml:space="preserve">cyc_872</t>
  </si>
  <si>
    <t xml:space="preserve">https://www.google.com/maps/@?api=1&amp;map_action=pano&amp;viewpoint=48.8540577007997,2.26254084547026</t>
  </si>
  <si>
    <t xml:space="preserve">cyc_876</t>
  </si>
  <si>
    <t xml:space="preserve">https://www.google.com/maps/@?api=1&amp;map_action=pano&amp;viewpoint=48.8859212051334,2.30942048203455</t>
  </si>
  <si>
    <t xml:space="preserve">cyc_877</t>
  </si>
  <si>
    <t xml:space="preserve">https://www.google.com/maps/@?api=1&amp;map_action=pano&amp;viewpoint=48.8858325104205,2.30913835534039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</si>
</sst>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248</v>
      </c>
      <c r="C2" t="n">
        <v>50</v>
      </c>
    </row>
    <row r="3">
      <c r="A3" t="s">
        <v>4</v>
      </c>
      <c r="B3" t="n">
        <v>140</v>
      </c>
      <c r="C3" t="n">
        <v>50</v>
      </c>
    </row>
    <row r="4">
      <c r="A4" t="s">
        <v>5</v>
      </c>
      <c r="B4" t="n">
        <v>175</v>
      </c>
      <c r="C4" t="n">
        <v>50</v>
      </c>
    </row>
    <row r="5">
      <c r="A5" t="s">
        <v>6</v>
      </c>
      <c r="B5" t="n">
        <v>932</v>
      </c>
      <c r="C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>
      <c r="A2" t="s">
        <v>18</v>
      </c>
      <c r="B2" t="s">
        <v>3</v>
      </c>
      <c r="C2" t="s">
        <v>19</v>
      </c>
      <c r="D2" t="s">
        <v>20</v>
      </c>
      <c r="E2" t="n">
        <v>84.2763992104743</v>
      </c>
      <c r="F2" t="n">
        <v>2.34663767274449</v>
      </c>
      <c r="G2" t="n">
        <v>48.849924593913</v>
      </c>
      <c r="H2" t="s">
        <v>21</v>
      </c>
      <c r="I2" s="1" t="str">
        <f>HYPERLINK("https://www.google.com/maps/@?api=1&amp;map_action=pano&amp;viewpoint=48.849924593913,2.34663767274449","Open GSV")</f>
      </c>
      <c r="J2" t="s">
        <v>22</v>
      </c>
      <c r="K2" t="s">
        <v>22</v>
      </c>
      <c r="L2" t="s">
        <v>22</v>
      </c>
    </row>
    <row r="3">
      <c r="A3" t="s">
        <v>18</v>
      </c>
      <c r="B3" t="s">
        <v>3</v>
      </c>
      <c r="C3" t="s">
        <v>23</v>
      </c>
      <c r="D3" t="s">
        <v>24</v>
      </c>
      <c r="E3" t="n">
        <v>75.8873854678027</v>
      </c>
      <c r="F3" t="n">
        <v>2.34464455732263</v>
      </c>
      <c r="G3" t="n">
        <v>48.8514099371145</v>
      </c>
      <c r="H3" t="s">
        <v>25</v>
      </c>
      <c r="I3" s="1" t="str">
        <f>HYPERLINK("https://www.google.com/maps/@?api=1&amp;map_action=pano&amp;viewpoint=48.8514099371145,2.34464455732263","Open GSV")</f>
      </c>
      <c r="J3" t="s">
        <v>22</v>
      </c>
      <c r="K3" t="s">
        <v>22</v>
      </c>
      <c r="L3" t="s">
        <v>22</v>
      </c>
    </row>
    <row r="4">
      <c r="A4" t="s">
        <v>18</v>
      </c>
      <c r="B4" t="s">
        <v>3</v>
      </c>
      <c r="C4" t="s">
        <v>26</v>
      </c>
      <c r="D4" t="s">
        <v>27</v>
      </c>
      <c r="E4" t="n">
        <v>55.3776722301115</v>
      </c>
      <c r="F4" t="n">
        <v>2.33328200050629</v>
      </c>
      <c r="G4" t="n">
        <v>48.8545797788813</v>
      </c>
      <c r="H4" t="s">
        <v>28</v>
      </c>
      <c r="I4" s="1" t="str">
        <f>HYPERLINK("https://www.google.com/maps/@?api=1&amp;map_action=pano&amp;viewpoint=48.8545797788813,2.33328200050629","Open GSV")</f>
      </c>
      <c r="J4" t="s">
        <v>22</v>
      </c>
      <c r="K4" t="s">
        <v>22</v>
      </c>
      <c r="L4" t="s">
        <v>22</v>
      </c>
    </row>
    <row r="5">
      <c r="A5" t="s">
        <v>18</v>
      </c>
      <c r="B5" t="s">
        <v>3</v>
      </c>
      <c r="C5" t="s">
        <v>29</v>
      </c>
      <c r="D5" t="s">
        <v>30</v>
      </c>
      <c r="E5" t="n">
        <v>62.9680983697306</v>
      </c>
      <c r="F5" t="n">
        <v>2.35119662653739</v>
      </c>
      <c r="G5" t="n">
        <v>48.8481558904536</v>
      </c>
      <c r="H5" t="s">
        <v>31</v>
      </c>
      <c r="I5" s="1" t="str">
        <f>HYPERLINK("https://www.google.com/maps/@?api=1&amp;map_action=pano&amp;viewpoint=48.8481558904536,2.35119662653739","Open GSV")</f>
      </c>
      <c r="J5" t="s">
        <v>22</v>
      </c>
      <c r="K5" t="s">
        <v>22</v>
      </c>
      <c r="L5" t="s">
        <v>22</v>
      </c>
    </row>
    <row r="6">
      <c r="A6" t="s">
        <v>18</v>
      </c>
      <c r="B6" t="s">
        <v>3</v>
      </c>
      <c r="C6" t="s">
        <v>32</v>
      </c>
      <c r="D6" t="s">
        <v>33</v>
      </c>
      <c r="E6" t="n">
        <v>59.6715339880083</v>
      </c>
      <c r="F6" t="n">
        <v>2.36157770791332</v>
      </c>
      <c r="G6" t="n">
        <v>48.8570110809097</v>
      </c>
      <c r="H6" t="s">
        <v>34</v>
      </c>
      <c r="I6" s="1" t="str">
        <f>HYPERLINK("https://www.google.com/maps/@?api=1&amp;map_action=pano&amp;viewpoint=48.8570110809097,2.36157770791332","Open GSV")</f>
      </c>
      <c r="J6" t="s">
        <v>22</v>
      </c>
      <c r="K6" t="s">
        <v>22</v>
      </c>
      <c r="L6" t="s">
        <v>22</v>
      </c>
    </row>
    <row r="7">
      <c r="A7" t="s">
        <v>18</v>
      </c>
      <c r="B7" t="s">
        <v>3</v>
      </c>
      <c r="C7" t="s">
        <v>35</v>
      </c>
      <c r="D7" t="s">
        <v>36</v>
      </c>
      <c r="E7" t="n">
        <v>49.3358469703987</v>
      </c>
      <c r="F7" t="n">
        <v>2.31677707897177</v>
      </c>
      <c r="G7" t="n">
        <v>48.8806144511907</v>
      </c>
      <c r="H7" t="s">
        <v>37</v>
      </c>
      <c r="I7" s="1" t="str">
        <f>HYPERLINK("https://www.google.com/maps/@?api=1&amp;map_action=pano&amp;viewpoint=48.8806144511907,2.31677707897177","Open GSV")</f>
      </c>
      <c r="J7" t="s">
        <v>22</v>
      </c>
      <c r="K7" t="s">
        <v>22</v>
      </c>
      <c r="L7" t="s">
        <v>22</v>
      </c>
    </row>
    <row r="8">
      <c r="A8" t="s">
        <v>18</v>
      </c>
      <c r="B8" t="s">
        <v>3</v>
      </c>
      <c r="C8" t="s">
        <v>38</v>
      </c>
      <c r="D8" t="s">
        <v>39</v>
      </c>
      <c r="E8" t="n">
        <v>139.208423282299</v>
      </c>
      <c r="F8" t="n">
        <v>2.33415688946996</v>
      </c>
      <c r="G8" t="n">
        <v>48.8806352357999</v>
      </c>
      <c r="H8" t="s">
        <v>40</v>
      </c>
      <c r="I8" s="1" t="str">
        <f>HYPERLINK("https://www.google.com/maps/@?api=1&amp;map_action=pano&amp;viewpoint=48.8806352357999,2.33415688946996","Open GSV")</f>
      </c>
      <c r="J8" t="s">
        <v>22</v>
      </c>
      <c r="K8" t="s">
        <v>22</v>
      </c>
      <c r="L8" t="s">
        <v>22</v>
      </c>
    </row>
    <row r="9">
      <c r="A9" t="s">
        <v>18</v>
      </c>
      <c r="B9" t="s">
        <v>3</v>
      </c>
      <c r="C9" t="s">
        <v>41</v>
      </c>
      <c r="D9" t="s">
        <v>42</v>
      </c>
      <c r="E9" t="n">
        <v>68.7148545330687</v>
      </c>
      <c r="F9" t="n">
        <v>2.33591799294527</v>
      </c>
      <c r="G9" t="n">
        <v>48.8851463686131</v>
      </c>
      <c r="H9" t="s">
        <v>43</v>
      </c>
      <c r="I9" s="1" t="str">
        <f>HYPERLINK("https://www.google.com/maps/@?api=1&amp;map_action=pano&amp;viewpoint=48.8851463686131,2.33591799294527","Open GSV")</f>
      </c>
      <c r="J9" t="s">
        <v>22</v>
      </c>
      <c r="K9" t="s">
        <v>22</v>
      </c>
      <c r="L9" t="s">
        <v>22</v>
      </c>
    </row>
    <row r="10">
      <c r="A10" t="s">
        <v>18</v>
      </c>
      <c r="B10" t="s">
        <v>3</v>
      </c>
      <c r="C10" t="s">
        <v>44</v>
      </c>
      <c r="D10" t="s">
        <v>45</v>
      </c>
      <c r="E10" t="n">
        <v>79.0397135249314</v>
      </c>
      <c r="F10" t="n">
        <v>2.35786291025099</v>
      </c>
      <c r="G10" t="n">
        <v>48.872023359951</v>
      </c>
      <c r="H10" t="s">
        <v>46</v>
      </c>
      <c r="I10" s="1" t="str">
        <f>HYPERLINK("https://www.google.com/maps/@?api=1&amp;map_action=pano&amp;viewpoint=48.872023359951,2.35786291025099","Open GSV")</f>
      </c>
      <c r="J10" t="s">
        <v>22</v>
      </c>
      <c r="K10" t="s">
        <v>22</v>
      </c>
      <c r="L10" t="s">
        <v>22</v>
      </c>
    </row>
    <row r="11">
      <c r="A11" t="s">
        <v>18</v>
      </c>
      <c r="B11" t="s">
        <v>3</v>
      </c>
      <c r="C11" t="s">
        <v>47</v>
      </c>
      <c r="D11" t="s">
        <v>48</v>
      </c>
      <c r="E11" t="n">
        <v>123.935514341678</v>
      </c>
      <c r="F11" t="n">
        <v>2.35269009007287</v>
      </c>
      <c r="G11" t="n">
        <v>48.8680483322042</v>
      </c>
      <c r="H11" t="s">
        <v>49</v>
      </c>
      <c r="I11" s="1" t="str">
        <f>HYPERLINK("https://www.google.com/maps/@?api=1&amp;map_action=pano&amp;viewpoint=48.8680483322042,2.35269009007287","Open GSV")</f>
      </c>
      <c r="J11" t="s">
        <v>22</v>
      </c>
      <c r="K11" t="s">
        <v>22</v>
      </c>
      <c r="L11" t="s">
        <v>22</v>
      </c>
    </row>
    <row r="12">
      <c r="A12" t="s">
        <v>18</v>
      </c>
      <c r="B12" t="s">
        <v>3</v>
      </c>
      <c r="C12" t="s">
        <v>50</v>
      </c>
      <c r="D12" t="s">
        <v>51</v>
      </c>
      <c r="E12" t="n">
        <v>100.902165626003</v>
      </c>
      <c r="F12" t="n">
        <v>2.32548575108391</v>
      </c>
      <c r="G12" t="n">
        <v>48.8921670314718</v>
      </c>
      <c r="H12" t="s">
        <v>52</v>
      </c>
      <c r="I12" s="1" t="str">
        <f>HYPERLINK("https://www.google.com/maps/@?api=1&amp;map_action=pano&amp;viewpoint=48.8921670314718,2.32548575108391","Open GSV")</f>
      </c>
      <c r="J12" t="s">
        <v>22</v>
      </c>
      <c r="K12" t="s">
        <v>22</v>
      </c>
      <c r="L12" t="s">
        <v>22</v>
      </c>
    </row>
    <row r="13">
      <c r="A13" t="s">
        <v>18</v>
      </c>
      <c r="B13" t="s">
        <v>3</v>
      </c>
      <c r="C13" t="s">
        <v>53</v>
      </c>
      <c r="D13" t="s">
        <v>54</v>
      </c>
      <c r="E13" t="n">
        <v>140.04347481237</v>
      </c>
      <c r="F13" t="n">
        <v>2.36471578939879</v>
      </c>
      <c r="G13" t="n">
        <v>48.8942996843414</v>
      </c>
      <c r="H13" t="s">
        <v>55</v>
      </c>
      <c r="I13" s="1" t="str">
        <f>HYPERLINK("https://www.google.com/maps/@?api=1&amp;map_action=pano&amp;viewpoint=48.8942996843414,2.36471578939879","Open GSV")</f>
      </c>
      <c r="J13" t="s">
        <v>22</v>
      </c>
      <c r="K13" t="s">
        <v>22</v>
      </c>
      <c r="L13" t="s">
        <v>22</v>
      </c>
    </row>
    <row r="14">
      <c r="A14" t="s">
        <v>18</v>
      </c>
      <c r="B14" t="s">
        <v>3</v>
      </c>
      <c r="C14" t="s">
        <v>56</v>
      </c>
      <c r="D14" t="s">
        <v>57</v>
      </c>
      <c r="E14" t="n">
        <v>26.4580409645195</v>
      </c>
      <c r="F14" t="n">
        <v>2.34204538464681</v>
      </c>
      <c r="G14" t="n">
        <v>48.8629306197389</v>
      </c>
      <c r="H14" t="s">
        <v>58</v>
      </c>
      <c r="I14" s="1" t="str">
        <f>HYPERLINK("https://www.google.com/maps/@?api=1&amp;map_action=pano&amp;viewpoint=48.8629306197389,2.34204538464681","Open GSV")</f>
      </c>
      <c r="J14" t="s">
        <v>22</v>
      </c>
      <c r="K14" t="s">
        <v>22</v>
      </c>
      <c r="L14" t="s">
        <v>22</v>
      </c>
    </row>
    <row r="15">
      <c r="A15" t="s">
        <v>18</v>
      </c>
      <c r="B15" t="s">
        <v>3</v>
      </c>
      <c r="C15" t="s">
        <v>59</v>
      </c>
      <c r="D15" t="s">
        <v>60</v>
      </c>
      <c r="E15" t="n">
        <v>90.8358548675307</v>
      </c>
      <c r="F15" t="n">
        <v>2.34881174664174</v>
      </c>
      <c r="G15" t="n">
        <v>48.8415312112179</v>
      </c>
      <c r="H15" t="s">
        <v>61</v>
      </c>
      <c r="I15" s="1" t="str">
        <f>HYPERLINK("https://www.google.com/maps/@?api=1&amp;map_action=pano&amp;viewpoint=48.8415312112179,2.34881174664174","Open GSV")</f>
      </c>
      <c r="J15" t="s">
        <v>22</v>
      </c>
      <c r="K15" t="s">
        <v>22</v>
      </c>
      <c r="L15" t="s">
        <v>22</v>
      </c>
    </row>
    <row r="16">
      <c r="A16" t="s">
        <v>18</v>
      </c>
      <c r="B16" t="s">
        <v>3</v>
      </c>
      <c r="C16" t="s">
        <v>62</v>
      </c>
      <c r="D16" t="s">
        <v>63</v>
      </c>
      <c r="E16" t="n">
        <v>20.8173121202386</v>
      </c>
      <c r="F16" t="n">
        <v>2.31971697548333</v>
      </c>
      <c r="G16" t="n">
        <v>48.8505494743714</v>
      </c>
      <c r="H16" t="s">
        <v>64</v>
      </c>
      <c r="I16" s="1" t="str">
        <f>HYPERLINK("https://www.google.com/maps/@?api=1&amp;map_action=pano&amp;viewpoint=48.8505494743714,2.31971697548333","Open GSV")</f>
      </c>
      <c r="J16" t="s">
        <v>22</v>
      </c>
      <c r="K16" t="s">
        <v>22</v>
      </c>
      <c r="L16" t="s">
        <v>22</v>
      </c>
    </row>
    <row r="17">
      <c r="A17" t="s">
        <v>18</v>
      </c>
      <c r="B17" t="s">
        <v>3</v>
      </c>
      <c r="C17" t="s">
        <v>65</v>
      </c>
      <c r="D17" t="s">
        <v>66</v>
      </c>
      <c r="E17" t="n">
        <v>81.4922092586935</v>
      </c>
      <c r="F17" t="n">
        <v>2.3515276514418</v>
      </c>
      <c r="G17" t="n">
        <v>48.8790454878929</v>
      </c>
      <c r="H17" t="s">
        <v>67</v>
      </c>
      <c r="I17" s="1" t="str">
        <f>HYPERLINK("https://www.google.com/maps/@?api=1&amp;map_action=pano&amp;viewpoint=48.8790454878929,2.3515276514418","Open GSV")</f>
      </c>
      <c r="J17" t="s">
        <v>22</v>
      </c>
      <c r="K17" t="s">
        <v>22</v>
      </c>
      <c r="L17" t="s">
        <v>22</v>
      </c>
    </row>
    <row r="18">
      <c r="A18" t="s">
        <v>18</v>
      </c>
      <c r="B18" t="s">
        <v>3</v>
      </c>
      <c r="C18" t="s">
        <v>68</v>
      </c>
      <c r="D18" t="s">
        <v>69</v>
      </c>
      <c r="E18" t="n">
        <v>92.3027024626962</v>
      </c>
      <c r="F18" t="n">
        <v>2.40066095623215</v>
      </c>
      <c r="G18" t="n">
        <v>48.8556051566955</v>
      </c>
      <c r="H18" t="s">
        <v>70</v>
      </c>
      <c r="I18" s="1" t="str">
        <f>HYPERLINK("https://www.google.com/maps/@?api=1&amp;map_action=pano&amp;viewpoint=48.8556051566955,2.40066095623215","Open GSV")</f>
      </c>
      <c r="J18" t="s">
        <v>22</v>
      </c>
      <c r="K18" t="s">
        <v>22</v>
      </c>
      <c r="L18" t="s">
        <v>22</v>
      </c>
    </row>
    <row r="19">
      <c r="A19" t="s">
        <v>18</v>
      </c>
      <c r="B19" t="s">
        <v>3</v>
      </c>
      <c r="C19" t="s">
        <v>71</v>
      </c>
      <c r="D19" t="s">
        <v>72</v>
      </c>
      <c r="E19" t="n">
        <v>143.78507662346</v>
      </c>
      <c r="F19" t="n">
        <v>2.38038502053626</v>
      </c>
      <c r="G19" t="n">
        <v>48.8864521790615</v>
      </c>
      <c r="H19" t="s">
        <v>73</v>
      </c>
      <c r="I19" s="1" t="str">
        <f>HYPERLINK("https://www.google.com/maps/@?api=1&amp;map_action=pano&amp;viewpoint=48.8864521790615,2.38038502053626","Open GSV")</f>
      </c>
      <c r="J19" t="s">
        <v>22</v>
      </c>
      <c r="K19" t="s">
        <v>22</v>
      </c>
      <c r="L19" t="s">
        <v>22</v>
      </c>
    </row>
    <row r="20">
      <c r="A20" t="s">
        <v>18</v>
      </c>
      <c r="B20" t="s">
        <v>3</v>
      </c>
      <c r="C20" t="s">
        <v>74</v>
      </c>
      <c r="D20" t="s">
        <v>75</v>
      </c>
      <c r="E20" t="n">
        <v>179.349751322268</v>
      </c>
      <c r="F20" t="n">
        <v>2.40936923979642</v>
      </c>
      <c r="G20" t="n">
        <v>48.8336815043126</v>
      </c>
      <c r="H20" t="s">
        <v>76</v>
      </c>
      <c r="I20" s="1" t="str">
        <f>HYPERLINK("https://www.google.com/maps/@?api=1&amp;map_action=pano&amp;viewpoint=48.8336815043126,2.40936923979642","Open GSV")</f>
      </c>
      <c r="J20" t="s">
        <v>22</v>
      </c>
      <c r="K20" t="s">
        <v>22</v>
      </c>
      <c r="L20" t="s">
        <v>22</v>
      </c>
    </row>
    <row r="21">
      <c r="A21" t="s">
        <v>18</v>
      </c>
      <c r="B21" t="s">
        <v>3</v>
      </c>
      <c r="C21" t="s">
        <v>77</v>
      </c>
      <c r="D21" t="s">
        <v>78</v>
      </c>
      <c r="E21" t="n">
        <v>91.2782068540832</v>
      </c>
      <c r="F21" t="n">
        <v>2.25451585511692</v>
      </c>
      <c r="G21" t="n">
        <v>48.840374667011</v>
      </c>
      <c r="H21" t="s">
        <v>79</v>
      </c>
      <c r="I21" s="1" t="str">
        <f>HYPERLINK("https://www.google.com/maps/@?api=1&amp;map_action=pano&amp;viewpoint=48.840374667011,2.25451585511692","Open GSV")</f>
      </c>
      <c r="J21" t="s">
        <v>22</v>
      </c>
      <c r="K21" t="s">
        <v>22</v>
      </c>
      <c r="L21" t="s">
        <v>22</v>
      </c>
    </row>
    <row r="22">
      <c r="A22" t="s">
        <v>18</v>
      </c>
      <c r="B22" t="s">
        <v>3</v>
      </c>
      <c r="C22" t="s">
        <v>80</v>
      </c>
      <c r="D22" t="s">
        <v>81</v>
      </c>
      <c r="E22" t="n">
        <v>37.2591332593345</v>
      </c>
      <c r="F22" t="n">
        <v>2.27194023280894</v>
      </c>
      <c r="G22" t="n">
        <v>48.8693482454658</v>
      </c>
      <c r="H22" t="s">
        <v>82</v>
      </c>
      <c r="I22" s="1" t="str">
        <f>HYPERLINK("https://www.google.com/maps/@?api=1&amp;map_action=pano&amp;viewpoint=48.8693482454658,2.27194023280894","Open GSV")</f>
      </c>
      <c r="J22" t="s">
        <v>22</v>
      </c>
      <c r="K22" t="s">
        <v>22</v>
      </c>
      <c r="L22" t="s">
        <v>22</v>
      </c>
    </row>
    <row r="23">
      <c r="A23" t="s">
        <v>18</v>
      </c>
      <c r="B23" t="s">
        <v>3</v>
      </c>
      <c r="C23" t="s">
        <v>83</v>
      </c>
      <c r="D23" t="s">
        <v>84</v>
      </c>
      <c r="E23" t="n">
        <v>37.0714215732557</v>
      </c>
      <c r="F23" t="n">
        <v>2.36302018655079</v>
      </c>
      <c r="G23" t="n">
        <v>48.8820706675324</v>
      </c>
      <c r="H23" t="s">
        <v>85</v>
      </c>
      <c r="I23" s="1" t="str">
        <f>HYPERLINK("https://www.google.com/maps/@?api=1&amp;map_action=pano&amp;viewpoint=48.8820706675324,2.36302018655079","Open GSV")</f>
      </c>
      <c r="J23" t="s">
        <v>22</v>
      </c>
      <c r="K23" t="s">
        <v>22</v>
      </c>
      <c r="L23" t="s">
        <v>22</v>
      </c>
    </row>
    <row r="24">
      <c r="A24" t="s">
        <v>18</v>
      </c>
      <c r="B24" t="s">
        <v>3</v>
      </c>
      <c r="C24" t="s">
        <v>86</v>
      </c>
      <c r="D24" t="s">
        <v>87</v>
      </c>
      <c r="E24" t="n">
        <v>39.3221687390339</v>
      </c>
      <c r="F24" t="n">
        <v>2.39758474983827</v>
      </c>
      <c r="G24" t="n">
        <v>48.8769523502908</v>
      </c>
      <c r="H24" t="s">
        <v>88</v>
      </c>
      <c r="I24" s="1" t="str">
        <f>HYPERLINK("https://www.google.com/maps/@?api=1&amp;map_action=pano&amp;viewpoint=48.8769523502908,2.39758474983827","Open GSV")</f>
      </c>
      <c r="J24" t="s">
        <v>22</v>
      </c>
      <c r="K24" t="s">
        <v>22</v>
      </c>
      <c r="L24" t="s">
        <v>22</v>
      </c>
    </row>
    <row r="25">
      <c r="A25" t="s">
        <v>18</v>
      </c>
      <c r="B25" t="s">
        <v>3</v>
      </c>
      <c r="C25" t="s">
        <v>89</v>
      </c>
      <c r="D25" t="s">
        <v>90</v>
      </c>
      <c r="E25" t="n">
        <v>155.024894049643</v>
      </c>
      <c r="F25" t="n">
        <v>2.32234590767651</v>
      </c>
      <c r="G25" t="n">
        <v>48.8763290375513</v>
      </c>
      <c r="H25" t="s">
        <v>91</v>
      </c>
      <c r="I25" s="1" t="str">
        <f>HYPERLINK("https://www.google.com/maps/@?api=1&amp;map_action=pano&amp;viewpoint=48.8763290375513,2.32234590767651","Open GSV")</f>
      </c>
      <c r="J25" t="s">
        <v>22</v>
      </c>
      <c r="K25" t="s">
        <v>22</v>
      </c>
      <c r="L25" t="s">
        <v>22</v>
      </c>
    </row>
    <row r="26">
      <c r="A26" t="s">
        <v>18</v>
      </c>
      <c r="B26" t="s">
        <v>3</v>
      </c>
      <c r="C26" t="s">
        <v>92</v>
      </c>
      <c r="D26" t="s">
        <v>93</v>
      </c>
      <c r="E26" t="n">
        <v>44.0018814539315</v>
      </c>
      <c r="F26" t="n">
        <v>2.34258873713939</v>
      </c>
      <c r="G26" t="n">
        <v>48.8486697767032</v>
      </c>
      <c r="H26" t="s">
        <v>94</v>
      </c>
      <c r="I26" s="1" t="str">
        <f>HYPERLINK("https://www.google.com/maps/@?api=1&amp;map_action=pano&amp;viewpoint=48.8486697767032,2.34258873713939","Open GSV")</f>
      </c>
      <c r="J26" t="s">
        <v>22</v>
      </c>
      <c r="K26" t="s">
        <v>22</v>
      </c>
      <c r="L26" t="s">
        <v>22</v>
      </c>
    </row>
    <row r="27">
      <c r="A27" t="s">
        <v>18</v>
      </c>
      <c r="B27" t="s">
        <v>3</v>
      </c>
      <c r="C27" t="s">
        <v>95</v>
      </c>
      <c r="D27" t="s">
        <v>96</v>
      </c>
      <c r="E27" t="n">
        <v>112.791060753091</v>
      </c>
      <c r="F27" t="n">
        <v>2.34197685146066</v>
      </c>
      <c r="G27" t="n">
        <v>48.8784324495705</v>
      </c>
      <c r="H27" t="s">
        <v>97</v>
      </c>
      <c r="I27" s="1" t="str">
        <f>HYPERLINK("https://www.google.com/maps/@?api=1&amp;map_action=pano&amp;viewpoint=48.8784324495705,2.34197685146066","Open GSV")</f>
      </c>
      <c r="J27" t="s">
        <v>22</v>
      </c>
      <c r="K27" t="s">
        <v>22</v>
      </c>
      <c r="L27" t="s">
        <v>22</v>
      </c>
    </row>
    <row r="28">
      <c r="A28" t="s">
        <v>18</v>
      </c>
      <c r="B28" t="s">
        <v>3</v>
      </c>
      <c r="C28" t="s">
        <v>98</v>
      </c>
      <c r="D28" t="s">
        <v>99</v>
      </c>
      <c r="E28" t="n">
        <v>112.084779594972</v>
      </c>
      <c r="F28" t="n">
        <v>2.37279016326646</v>
      </c>
      <c r="G28" t="n">
        <v>48.8664807220858</v>
      </c>
      <c r="H28" t="s">
        <v>100</v>
      </c>
      <c r="I28" s="1" t="str">
        <f>HYPERLINK("https://www.google.com/maps/@?api=1&amp;map_action=pano&amp;viewpoint=48.8664807220858,2.37279016326646","Open GSV")</f>
      </c>
      <c r="J28" t="s">
        <v>22</v>
      </c>
      <c r="K28" t="s">
        <v>22</v>
      </c>
      <c r="L28" t="s">
        <v>22</v>
      </c>
    </row>
    <row r="29">
      <c r="A29" t="s">
        <v>18</v>
      </c>
      <c r="B29" t="s">
        <v>3</v>
      </c>
      <c r="C29" t="s">
        <v>101</v>
      </c>
      <c r="D29" t="s">
        <v>102</v>
      </c>
      <c r="E29" t="n">
        <v>191.903606150569</v>
      </c>
      <c r="F29" t="n">
        <v>2.32129524453907</v>
      </c>
      <c r="G29" t="n">
        <v>48.8680098823775</v>
      </c>
      <c r="H29" t="s">
        <v>103</v>
      </c>
      <c r="I29" s="1" t="str">
        <f>HYPERLINK("https://www.google.com/maps/@?api=1&amp;map_action=pano&amp;viewpoint=48.8680098823775,2.32129524453907","Open GSV")</f>
      </c>
      <c r="J29" t="s">
        <v>22</v>
      </c>
      <c r="K29" t="s">
        <v>22</v>
      </c>
      <c r="L29" t="s">
        <v>22</v>
      </c>
    </row>
    <row r="30">
      <c r="A30" t="s">
        <v>18</v>
      </c>
      <c r="B30" t="s">
        <v>3</v>
      </c>
      <c r="C30" t="s">
        <v>104</v>
      </c>
      <c r="D30" t="s">
        <v>105</v>
      </c>
      <c r="E30" t="n">
        <v>71.3078307852337</v>
      </c>
      <c r="F30" t="n">
        <v>2.34700444320789</v>
      </c>
      <c r="G30" t="n">
        <v>48.857594367371</v>
      </c>
      <c r="H30" t="s">
        <v>106</v>
      </c>
      <c r="I30" s="1" t="str">
        <f>HYPERLINK("https://www.google.com/maps/@?api=1&amp;map_action=pano&amp;viewpoint=48.857594367371,2.34700444320789","Open GSV")</f>
      </c>
      <c r="J30" t="s">
        <v>22</v>
      </c>
      <c r="K30" t="s">
        <v>22</v>
      </c>
      <c r="L30" t="s">
        <v>22</v>
      </c>
    </row>
    <row r="31">
      <c r="A31" t="s">
        <v>18</v>
      </c>
      <c r="B31" t="s">
        <v>3</v>
      </c>
      <c r="C31" t="s">
        <v>107</v>
      </c>
      <c r="D31" t="s">
        <v>108</v>
      </c>
      <c r="E31" t="n">
        <v>67.4650453168734</v>
      </c>
      <c r="F31" t="n">
        <v>2.35527965023388</v>
      </c>
      <c r="G31" t="n">
        <v>48.8252813000475</v>
      </c>
      <c r="H31" t="s">
        <v>109</v>
      </c>
      <c r="I31" s="1" t="str">
        <f>HYPERLINK("https://www.google.com/maps/@?api=1&amp;map_action=pano&amp;viewpoint=48.8252813000475,2.35527965023388","Open GSV")</f>
      </c>
      <c r="J31" t="s">
        <v>22</v>
      </c>
      <c r="K31" t="s">
        <v>22</v>
      </c>
      <c r="L31" t="s">
        <v>22</v>
      </c>
    </row>
    <row r="32">
      <c r="A32" t="s">
        <v>18</v>
      </c>
      <c r="B32" t="s">
        <v>3</v>
      </c>
      <c r="C32" t="s">
        <v>110</v>
      </c>
      <c r="D32" t="s">
        <v>111</v>
      </c>
      <c r="E32" t="n">
        <v>117.563325280552</v>
      </c>
      <c r="F32" t="n">
        <v>2.3743817108478</v>
      </c>
      <c r="G32" t="n">
        <v>48.8487015795088</v>
      </c>
      <c r="H32" t="s">
        <v>112</v>
      </c>
      <c r="I32" s="1" t="str">
        <f>HYPERLINK("https://www.google.com/maps/@?api=1&amp;map_action=pano&amp;viewpoint=48.8487015795088,2.3743817108478","Open GSV")</f>
      </c>
      <c r="J32" t="s">
        <v>22</v>
      </c>
      <c r="K32" t="s">
        <v>22</v>
      </c>
      <c r="L32" t="s">
        <v>22</v>
      </c>
    </row>
    <row r="33">
      <c r="A33" t="s">
        <v>18</v>
      </c>
      <c r="B33" t="s">
        <v>3</v>
      </c>
      <c r="C33" t="s">
        <v>113</v>
      </c>
      <c r="D33" t="s">
        <v>114</v>
      </c>
      <c r="E33" t="n">
        <v>116.154166862057</v>
      </c>
      <c r="F33" t="n">
        <v>2.32829308312782</v>
      </c>
      <c r="G33" t="n">
        <v>48.8252121213405</v>
      </c>
      <c r="H33" t="s">
        <v>115</v>
      </c>
      <c r="I33" s="1" t="str">
        <f>HYPERLINK("https://www.google.com/maps/@?api=1&amp;map_action=pano&amp;viewpoint=48.8252121213405,2.32829308312782","Open GSV")</f>
      </c>
      <c r="J33" t="s">
        <v>22</v>
      </c>
      <c r="K33" t="s">
        <v>22</v>
      </c>
      <c r="L33" t="s">
        <v>22</v>
      </c>
    </row>
    <row r="34">
      <c r="A34" t="s">
        <v>18</v>
      </c>
      <c r="B34" t="s">
        <v>3</v>
      </c>
      <c r="C34" t="s">
        <v>116</v>
      </c>
      <c r="D34" t="s">
        <v>117</v>
      </c>
      <c r="E34" t="n">
        <v>157.522219304179</v>
      </c>
      <c r="F34" t="n">
        <v>2.34272348567567</v>
      </c>
      <c r="G34" t="n">
        <v>48.8494726994906</v>
      </c>
      <c r="H34" t="s">
        <v>118</v>
      </c>
      <c r="I34" s="1" t="str">
        <f>HYPERLINK("https://www.google.com/maps/@?api=1&amp;map_action=pano&amp;viewpoint=48.8494726994906,2.34272348567567","Open GSV")</f>
      </c>
      <c r="J34" t="s">
        <v>22</v>
      </c>
      <c r="K34" t="s">
        <v>22</v>
      </c>
      <c r="L34" t="s">
        <v>22</v>
      </c>
    </row>
    <row r="35">
      <c r="A35" t="s">
        <v>18</v>
      </c>
      <c r="B35" t="s">
        <v>3</v>
      </c>
      <c r="C35" t="s">
        <v>119</v>
      </c>
      <c r="D35" t="s">
        <v>120</v>
      </c>
      <c r="E35" t="n">
        <v>83.6445371274362</v>
      </c>
      <c r="F35" t="n">
        <v>2.40100786776899</v>
      </c>
      <c r="G35" t="n">
        <v>48.8643464937595</v>
      </c>
      <c r="H35" t="s">
        <v>121</v>
      </c>
      <c r="I35" s="1" t="str">
        <f>HYPERLINK("https://www.google.com/maps/@?api=1&amp;map_action=pano&amp;viewpoint=48.8643464937595,2.40100786776899","Open GSV")</f>
      </c>
      <c r="J35" t="s">
        <v>22</v>
      </c>
      <c r="K35" t="s">
        <v>22</v>
      </c>
      <c r="L35" t="s">
        <v>22</v>
      </c>
    </row>
    <row r="36">
      <c r="A36" t="s">
        <v>18</v>
      </c>
      <c r="B36" t="s">
        <v>3</v>
      </c>
      <c r="C36" t="s">
        <v>122</v>
      </c>
      <c r="D36" t="s">
        <v>123</v>
      </c>
      <c r="E36" t="n">
        <v>29.7824734694302</v>
      </c>
      <c r="F36" t="n">
        <v>2.37576585013489</v>
      </c>
      <c r="G36" t="n">
        <v>48.8907174001604</v>
      </c>
      <c r="H36" t="s">
        <v>124</v>
      </c>
      <c r="I36" s="1" t="str">
        <f>HYPERLINK("https://www.google.com/maps/@?api=1&amp;map_action=pano&amp;viewpoint=48.8907174001604,2.37576585013489","Open GSV")</f>
      </c>
      <c r="J36" t="s">
        <v>22</v>
      </c>
      <c r="K36" t="s">
        <v>22</v>
      </c>
      <c r="L36" t="s">
        <v>22</v>
      </c>
    </row>
    <row r="37">
      <c r="A37" t="s">
        <v>18</v>
      </c>
      <c r="B37" t="s">
        <v>3</v>
      </c>
      <c r="C37" t="s">
        <v>125</v>
      </c>
      <c r="D37" t="s">
        <v>126</v>
      </c>
      <c r="E37" t="n">
        <v>61.8644544466338</v>
      </c>
      <c r="F37" t="n">
        <v>2.35375421048746</v>
      </c>
      <c r="G37" t="n">
        <v>48.8274516596103</v>
      </c>
      <c r="H37" t="s">
        <v>127</v>
      </c>
      <c r="I37" s="1" t="str">
        <f>HYPERLINK("https://www.google.com/maps/@?api=1&amp;map_action=pano&amp;viewpoint=48.8274516596103,2.35375421048746","Open GSV")</f>
      </c>
      <c r="J37" t="s">
        <v>22</v>
      </c>
      <c r="K37" t="s">
        <v>22</v>
      </c>
      <c r="L37" t="s">
        <v>22</v>
      </c>
    </row>
    <row r="38">
      <c r="A38" t="s">
        <v>18</v>
      </c>
      <c r="B38" t="s">
        <v>3</v>
      </c>
      <c r="C38" t="s">
        <v>128</v>
      </c>
      <c r="D38" t="s">
        <v>129</v>
      </c>
      <c r="E38" t="n">
        <v>104.231415379444</v>
      </c>
      <c r="F38" t="n">
        <v>2.35348005436823</v>
      </c>
      <c r="G38" t="n">
        <v>48.8225989031173</v>
      </c>
      <c r="H38" t="s">
        <v>130</v>
      </c>
      <c r="I38" s="1" t="str">
        <f>HYPERLINK("https://www.google.com/maps/@?api=1&amp;map_action=pano&amp;viewpoint=48.8225989031173,2.35348005436823","Open GSV")</f>
      </c>
      <c r="J38" t="s">
        <v>22</v>
      </c>
      <c r="K38" t="s">
        <v>22</v>
      </c>
      <c r="L38" t="s">
        <v>22</v>
      </c>
    </row>
    <row r="39">
      <c r="A39" t="s">
        <v>18</v>
      </c>
      <c r="B39" t="s">
        <v>3</v>
      </c>
      <c r="C39" t="s">
        <v>131</v>
      </c>
      <c r="D39" t="s">
        <v>132</v>
      </c>
      <c r="E39" t="n">
        <v>102.659787898464</v>
      </c>
      <c r="F39" t="n">
        <v>2.36050440401917</v>
      </c>
      <c r="G39" t="n">
        <v>48.8684483543461</v>
      </c>
      <c r="H39" t="s">
        <v>133</v>
      </c>
      <c r="I39" s="1" t="str">
        <f>HYPERLINK("https://www.google.com/maps/@?api=1&amp;map_action=pano&amp;viewpoint=48.8684483543461,2.36050440401917","Open GSV")</f>
      </c>
      <c r="J39" t="s">
        <v>22</v>
      </c>
      <c r="K39" t="s">
        <v>22</v>
      </c>
      <c r="L39" t="s">
        <v>22</v>
      </c>
    </row>
    <row r="40">
      <c r="A40" t="s">
        <v>18</v>
      </c>
      <c r="B40" t="s">
        <v>3</v>
      </c>
      <c r="C40" t="s">
        <v>134</v>
      </c>
      <c r="D40" t="s">
        <v>135</v>
      </c>
      <c r="E40" t="n">
        <v>39.6226456091397</v>
      </c>
      <c r="F40" t="n">
        <v>2.4004849795939</v>
      </c>
      <c r="G40" t="n">
        <v>48.8640845648083</v>
      </c>
      <c r="H40" t="s">
        <v>136</v>
      </c>
      <c r="I40" s="1" t="str">
        <f>HYPERLINK("https://www.google.com/maps/@?api=1&amp;map_action=pano&amp;viewpoint=48.8640845648083,2.4004849795939","Open GSV")</f>
      </c>
      <c r="J40" t="s">
        <v>22</v>
      </c>
      <c r="K40" t="s">
        <v>22</v>
      </c>
      <c r="L40" t="s">
        <v>22</v>
      </c>
    </row>
    <row r="41">
      <c r="A41" t="s">
        <v>18</v>
      </c>
      <c r="B41" t="s">
        <v>3</v>
      </c>
      <c r="C41" t="s">
        <v>137</v>
      </c>
      <c r="D41" t="s">
        <v>138</v>
      </c>
      <c r="E41" t="n">
        <v>119.950672322996</v>
      </c>
      <c r="F41" t="n">
        <v>2.35556090402688</v>
      </c>
      <c r="G41" t="n">
        <v>48.8363821971067</v>
      </c>
      <c r="H41" t="s">
        <v>139</v>
      </c>
      <c r="I41" s="1" t="str">
        <f>HYPERLINK("https://www.google.com/maps/@?api=1&amp;map_action=pano&amp;viewpoint=48.8363821971067,2.35556090402688","Open GSV")</f>
      </c>
      <c r="J41" t="s">
        <v>22</v>
      </c>
      <c r="K41" t="s">
        <v>22</v>
      </c>
      <c r="L41" t="s">
        <v>22</v>
      </c>
    </row>
    <row r="42">
      <c r="A42" t="s">
        <v>18</v>
      </c>
      <c r="B42" t="s">
        <v>3</v>
      </c>
      <c r="C42" t="s">
        <v>140</v>
      </c>
      <c r="D42" t="s">
        <v>141</v>
      </c>
      <c r="E42" t="n">
        <v>96.1098553968548</v>
      </c>
      <c r="F42" t="n">
        <v>2.37172245532239</v>
      </c>
      <c r="G42" t="n">
        <v>48.8644582109291</v>
      </c>
      <c r="H42" t="s">
        <v>142</v>
      </c>
      <c r="I42" s="1" t="str">
        <f>HYPERLINK("https://www.google.com/maps/@?api=1&amp;map_action=pano&amp;viewpoint=48.8644582109291,2.37172245532239","Open GSV")</f>
      </c>
      <c r="J42" t="s">
        <v>22</v>
      </c>
      <c r="K42" t="s">
        <v>22</v>
      </c>
      <c r="L42" t="s">
        <v>22</v>
      </c>
    </row>
    <row r="43">
      <c r="A43" t="s">
        <v>18</v>
      </c>
      <c r="B43" t="s">
        <v>3</v>
      </c>
      <c r="C43" t="s">
        <v>143</v>
      </c>
      <c r="D43" t="s">
        <v>144</v>
      </c>
      <c r="E43" t="n">
        <v>30.2295668388791</v>
      </c>
      <c r="F43" t="n">
        <v>2.31153084563516</v>
      </c>
      <c r="G43" t="n">
        <v>48.8876177887041</v>
      </c>
      <c r="H43" t="s">
        <v>145</v>
      </c>
      <c r="I43" s="1" t="str">
        <f>HYPERLINK("https://www.google.com/maps/@?api=1&amp;map_action=pano&amp;viewpoint=48.8876177887041,2.31153084563516","Open GSV")</f>
      </c>
      <c r="J43" t="s">
        <v>22</v>
      </c>
      <c r="K43" t="s">
        <v>22</v>
      </c>
      <c r="L43" t="s">
        <v>22</v>
      </c>
    </row>
    <row r="44">
      <c r="A44" t="s">
        <v>18</v>
      </c>
      <c r="B44" t="s">
        <v>3</v>
      </c>
      <c r="C44" t="s">
        <v>146</v>
      </c>
      <c r="D44" t="s">
        <v>147</v>
      </c>
      <c r="E44" t="n">
        <v>152.964373108798</v>
      </c>
      <c r="F44" t="n">
        <v>2.29019596964968</v>
      </c>
      <c r="G44" t="n">
        <v>48.8614938612894</v>
      </c>
      <c r="H44" t="s">
        <v>148</v>
      </c>
      <c r="I44" s="1" t="str">
        <f>HYPERLINK("https://www.google.com/maps/@?api=1&amp;map_action=pano&amp;viewpoint=48.8614938612894,2.29019596964968","Open GSV")</f>
      </c>
      <c r="J44" t="s">
        <v>22</v>
      </c>
      <c r="K44" t="s">
        <v>22</v>
      </c>
      <c r="L44" t="s">
        <v>22</v>
      </c>
    </row>
    <row r="45">
      <c r="A45" t="s">
        <v>18</v>
      </c>
      <c r="B45" t="s">
        <v>3</v>
      </c>
      <c r="C45" t="s">
        <v>149</v>
      </c>
      <c r="D45" t="s">
        <v>150</v>
      </c>
      <c r="E45" t="n">
        <v>86.9222914108358</v>
      </c>
      <c r="F45" t="n">
        <v>2.36666421693699</v>
      </c>
      <c r="G45" t="n">
        <v>48.820410643588</v>
      </c>
      <c r="H45" t="s">
        <v>151</v>
      </c>
      <c r="I45" s="1" t="str">
        <f>HYPERLINK("https://www.google.com/maps/@?api=1&amp;map_action=pano&amp;viewpoint=48.820410643588,2.36666421693699","Open GSV")</f>
      </c>
      <c r="J45" t="s">
        <v>22</v>
      </c>
      <c r="K45" t="s">
        <v>22</v>
      </c>
      <c r="L45" t="s">
        <v>22</v>
      </c>
    </row>
    <row r="46">
      <c r="A46" t="s">
        <v>18</v>
      </c>
      <c r="B46" t="s">
        <v>3</v>
      </c>
      <c r="C46" t="s">
        <v>152</v>
      </c>
      <c r="D46" t="s">
        <v>153</v>
      </c>
      <c r="E46" t="n">
        <v>50.019449511019</v>
      </c>
      <c r="F46" t="n">
        <v>2.34252770622483</v>
      </c>
      <c r="G46" t="n">
        <v>48.8631779082285</v>
      </c>
      <c r="H46" t="s">
        <v>154</v>
      </c>
      <c r="I46" s="1" t="str">
        <f>HYPERLINK("https://www.google.com/maps/@?api=1&amp;map_action=pano&amp;viewpoint=48.8631779082285,2.34252770622483","Open GSV")</f>
      </c>
      <c r="J46" t="s">
        <v>22</v>
      </c>
      <c r="K46" t="s">
        <v>22</v>
      </c>
      <c r="L46" t="s">
        <v>22</v>
      </c>
    </row>
    <row r="47">
      <c r="A47" t="s">
        <v>18</v>
      </c>
      <c r="B47" t="s">
        <v>3</v>
      </c>
      <c r="C47" t="s">
        <v>155</v>
      </c>
      <c r="D47" t="s">
        <v>156</v>
      </c>
      <c r="E47" t="n">
        <v>236.756525980614</v>
      </c>
      <c r="F47" t="n">
        <v>2.38859526049192</v>
      </c>
      <c r="G47" t="n">
        <v>48.8905483746445</v>
      </c>
      <c r="H47" t="s">
        <v>157</v>
      </c>
      <c r="I47" s="1" t="str">
        <f>HYPERLINK("https://www.google.com/maps/@?api=1&amp;map_action=pano&amp;viewpoint=48.8905483746445,2.38859526049192","Open GSV")</f>
      </c>
      <c r="J47" t="s">
        <v>22</v>
      </c>
      <c r="K47" t="s">
        <v>22</v>
      </c>
      <c r="L47" t="s">
        <v>22</v>
      </c>
    </row>
    <row r="48">
      <c r="A48" t="s">
        <v>18</v>
      </c>
      <c r="B48" t="s">
        <v>3</v>
      </c>
      <c r="C48" t="s">
        <v>158</v>
      </c>
      <c r="D48" t="s">
        <v>159</v>
      </c>
      <c r="E48" t="n">
        <v>62.247005817723</v>
      </c>
      <c r="F48" t="n">
        <v>2.34424200104511</v>
      </c>
      <c r="G48" t="n">
        <v>48.8594971222883</v>
      </c>
      <c r="H48" t="s">
        <v>160</v>
      </c>
      <c r="I48" s="1" t="str">
        <f>HYPERLINK("https://www.google.com/maps/@?api=1&amp;map_action=pano&amp;viewpoint=48.8594971222883,2.34424200104511","Open GSV")</f>
      </c>
      <c r="J48" t="s">
        <v>22</v>
      </c>
      <c r="K48" t="s">
        <v>22</v>
      </c>
      <c r="L48" t="s">
        <v>22</v>
      </c>
    </row>
    <row r="49">
      <c r="A49" t="s">
        <v>18</v>
      </c>
      <c r="B49" t="s">
        <v>3</v>
      </c>
      <c r="C49" t="s">
        <v>161</v>
      </c>
      <c r="D49" t="s">
        <v>75</v>
      </c>
      <c r="E49" t="n">
        <v>770.442862065823</v>
      </c>
      <c r="F49" t="n">
        <v>2.41681055688767</v>
      </c>
      <c r="G49" t="n">
        <v>48.8314620860508</v>
      </c>
      <c r="H49" t="s">
        <v>162</v>
      </c>
      <c r="I49" s="1" t="str">
        <f>HYPERLINK("https://www.google.com/maps/@?api=1&amp;map_action=pano&amp;viewpoint=48.8314620860508,2.41681055688767","Open GSV")</f>
      </c>
      <c r="J49" t="s">
        <v>22</v>
      </c>
      <c r="K49" t="s">
        <v>22</v>
      </c>
      <c r="L49" t="s">
        <v>22</v>
      </c>
    </row>
    <row r="50">
      <c r="A50" t="s">
        <v>18</v>
      </c>
      <c r="B50" t="s">
        <v>3</v>
      </c>
      <c r="C50" t="s">
        <v>163</v>
      </c>
      <c r="D50" t="s">
        <v>164</v>
      </c>
      <c r="E50" t="n">
        <v>91.6027852547665</v>
      </c>
      <c r="F50" t="n">
        <v>2.37002780170121</v>
      </c>
      <c r="G50" t="n">
        <v>48.8583200957992</v>
      </c>
      <c r="H50" t="s">
        <v>165</v>
      </c>
      <c r="I50" s="1" t="str">
        <f>HYPERLINK("https://www.google.com/maps/@?api=1&amp;map_action=pano&amp;viewpoint=48.8583200957992,2.37002780170121","Open GSV")</f>
      </c>
      <c r="J50" t="s">
        <v>22</v>
      </c>
      <c r="K50" t="s">
        <v>22</v>
      </c>
      <c r="L50" t="s">
        <v>22</v>
      </c>
    </row>
    <row r="51">
      <c r="A51" t="s">
        <v>18</v>
      </c>
      <c r="B51" t="s">
        <v>3</v>
      </c>
      <c r="C51" t="s">
        <v>166</v>
      </c>
      <c r="D51" t="s">
        <v>167</v>
      </c>
      <c r="E51" t="n">
        <v>118.274312242549</v>
      </c>
      <c r="F51" t="n">
        <v>2.3511626608031</v>
      </c>
      <c r="G51" t="n">
        <v>48.8862516241006</v>
      </c>
      <c r="H51" t="s">
        <v>168</v>
      </c>
      <c r="I51" s="1" t="str">
        <f>HYPERLINK("https://www.google.com/maps/@?api=1&amp;map_action=pano&amp;viewpoint=48.8862516241006,2.3511626608031","Open GSV")</f>
      </c>
      <c r="J51" t="s">
        <v>22</v>
      </c>
      <c r="K51" t="s">
        <v>22</v>
      </c>
      <c r="L51" t="s">
        <v>22</v>
      </c>
    </row>
    <row r="52">
      <c r="A52" t="s">
        <v>18</v>
      </c>
      <c r="B52" t="s">
        <v>4</v>
      </c>
      <c r="C52" t="s">
        <v>169</v>
      </c>
      <c r="D52" t="s">
        <v>170</v>
      </c>
      <c r="E52" t="n">
        <v>98.633620897485</v>
      </c>
      <c r="F52" t="n">
        <v>2.38936767657361</v>
      </c>
      <c r="G52" t="n">
        <v>48.8429592648945</v>
      </c>
      <c r="H52" t="s">
        <v>171</v>
      </c>
      <c r="I52" s="1" t="str">
        <f>HYPERLINK("https://www.google.com/maps/@?api=1&amp;map_action=pano&amp;viewpoint=48.8429592648945,2.38936767657361","Open GSV")</f>
      </c>
      <c r="J52" t="s">
        <v>22</v>
      </c>
      <c r="K52" t="s">
        <v>22</v>
      </c>
      <c r="L52" t="s">
        <v>22</v>
      </c>
    </row>
    <row r="53">
      <c r="A53" t="s">
        <v>18</v>
      </c>
      <c r="B53" t="s">
        <v>4</v>
      </c>
      <c r="C53" t="s">
        <v>172</v>
      </c>
      <c r="D53" t="s">
        <v>173</v>
      </c>
      <c r="E53" t="n">
        <v>183.917829554911</v>
      </c>
      <c r="F53" t="n">
        <v>2.3240464220965</v>
      </c>
      <c r="G53" t="n">
        <v>48.8453013546804</v>
      </c>
      <c r="H53" t="s">
        <v>174</v>
      </c>
      <c r="I53" s="1" t="str">
        <f>HYPERLINK("https://www.google.com/maps/@?api=1&amp;map_action=pano&amp;viewpoint=48.8453013546804,2.3240464220965","Open GSV")</f>
      </c>
      <c r="J53" t="s">
        <v>22</v>
      </c>
      <c r="K53" t="s">
        <v>22</v>
      </c>
      <c r="L53" t="s">
        <v>22</v>
      </c>
    </row>
    <row r="54">
      <c r="A54" t="s">
        <v>18</v>
      </c>
      <c r="B54" t="s">
        <v>4</v>
      </c>
      <c r="C54" t="s">
        <v>175</v>
      </c>
      <c r="D54" t="s">
        <v>176</v>
      </c>
      <c r="E54" t="n">
        <v>81.2084114303278</v>
      </c>
      <c r="F54" t="n">
        <v>2.35733542264101</v>
      </c>
      <c r="G54" t="n">
        <v>48.8644711488743</v>
      </c>
      <c r="H54" t="s">
        <v>177</v>
      </c>
      <c r="I54" s="1" t="str">
        <f>HYPERLINK("https://www.google.com/maps/@?api=1&amp;map_action=pano&amp;viewpoint=48.8644711488743,2.35733542264101","Open GSV")</f>
      </c>
      <c r="J54" t="s">
        <v>22</v>
      </c>
      <c r="K54" t="s">
        <v>22</v>
      </c>
      <c r="L54" t="s">
        <v>22</v>
      </c>
    </row>
    <row r="55">
      <c r="A55" t="s">
        <v>18</v>
      </c>
      <c r="B55" t="s">
        <v>4</v>
      </c>
      <c r="C55" t="s">
        <v>178</v>
      </c>
      <c r="D55" t="s">
        <v>179</v>
      </c>
      <c r="E55" t="n">
        <v>124.421325808186</v>
      </c>
      <c r="F55" t="n">
        <v>2.35677686885457</v>
      </c>
      <c r="G55" t="n">
        <v>48.8609116399957</v>
      </c>
      <c r="H55" t="s">
        <v>180</v>
      </c>
      <c r="I55" s="1" t="str">
        <f>HYPERLINK("https://www.google.com/maps/@?api=1&amp;map_action=pano&amp;viewpoint=48.8609116399957,2.35677686885457","Open GSV")</f>
      </c>
      <c r="J55" t="s">
        <v>22</v>
      </c>
      <c r="K55" t="s">
        <v>22</v>
      </c>
      <c r="L55" t="s">
        <v>22</v>
      </c>
    </row>
    <row r="56">
      <c r="A56" t="s">
        <v>18</v>
      </c>
      <c r="B56" t="s">
        <v>4</v>
      </c>
      <c r="C56" t="s">
        <v>181</v>
      </c>
      <c r="D56" t="s">
        <v>182</v>
      </c>
      <c r="E56" t="n">
        <v>173.609809843671</v>
      </c>
      <c r="F56" t="n">
        <v>2.36069996730387</v>
      </c>
      <c r="G56" t="n">
        <v>48.8588743634705</v>
      </c>
      <c r="H56" t="s">
        <v>183</v>
      </c>
      <c r="I56" s="1" t="str">
        <f>HYPERLINK("https://www.google.com/maps/@?api=1&amp;map_action=pano&amp;viewpoint=48.8588743634705,2.36069996730387","Open GSV")</f>
      </c>
      <c r="J56" t="s">
        <v>22</v>
      </c>
      <c r="K56" t="s">
        <v>22</v>
      </c>
      <c r="L56" t="s">
        <v>22</v>
      </c>
    </row>
    <row r="57">
      <c r="A57" t="s">
        <v>18</v>
      </c>
      <c r="B57" t="s">
        <v>4</v>
      </c>
      <c r="C57" t="s">
        <v>184</v>
      </c>
      <c r="D57" t="s">
        <v>185</v>
      </c>
      <c r="E57" t="n">
        <v>70.2698535978113</v>
      </c>
      <c r="F57" t="n">
        <v>2.36411210325492</v>
      </c>
      <c r="G57" t="n">
        <v>48.8600920967929</v>
      </c>
      <c r="H57" t="s">
        <v>186</v>
      </c>
      <c r="I57" s="1" t="str">
        <f>HYPERLINK("https://www.google.com/maps/@?api=1&amp;map_action=pano&amp;viewpoint=48.8600920967929,2.36411210325492","Open GSV")</f>
      </c>
      <c r="J57" t="s">
        <v>22</v>
      </c>
      <c r="K57" t="s">
        <v>22</v>
      </c>
      <c r="L57" t="s">
        <v>22</v>
      </c>
    </row>
    <row r="58">
      <c r="A58" t="s">
        <v>18</v>
      </c>
      <c r="B58" t="s">
        <v>4</v>
      </c>
      <c r="C58" t="s">
        <v>187</v>
      </c>
      <c r="D58" t="s">
        <v>188</v>
      </c>
      <c r="E58" t="n">
        <v>121.856569161448</v>
      </c>
      <c r="F58" t="n">
        <v>2.32904450161174</v>
      </c>
      <c r="G58" t="n">
        <v>48.8722456915523</v>
      </c>
      <c r="H58" t="s">
        <v>189</v>
      </c>
      <c r="I58" s="1" t="str">
        <f>HYPERLINK("https://www.google.com/maps/@?api=1&amp;map_action=pano&amp;viewpoint=48.8722456915523,2.32904450161174","Open GSV")</f>
      </c>
      <c r="J58" t="s">
        <v>22</v>
      </c>
      <c r="K58" t="s">
        <v>22</v>
      </c>
      <c r="L58" t="s">
        <v>22</v>
      </c>
    </row>
    <row r="59">
      <c r="A59" t="s">
        <v>18</v>
      </c>
      <c r="B59" t="s">
        <v>4</v>
      </c>
      <c r="C59" t="s">
        <v>190</v>
      </c>
      <c r="D59" t="s">
        <v>191</v>
      </c>
      <c r="E59" t="n">
        <v>131.273054036266</v>
      </c>
      <c r="F59" t="n">
        <v>2.35414629149508</v>
      </c>
      <c r="G59" t="n">
        <v>48.8707779895279</v>
      </c>
      <c r="H59" t="s">
        <v>192</v>
      </c>
      <c r="I59" s="1" t="str">
        <f>HYPERLINK("https://www.google.com/maps/@?api=1&amp;map_action=pano&amp;viewpoint=48.8707779895279,2.35414629149508","Open GSV")</f>
      </c>
      <c r="J59" t="s">
        <v>22</v>
      </c>
      <c r="K59" t="s">
        <v>22</v>
      </c>
      <c r="L59" t="s">
        <v>22</v>
      </c>
    </row>
    <row r="60">
      <c r="A60" t="s">
        <v>18</v>
      </c>
      <c r="B60" t="s">
        <v>4</v>
      </c>
      <c r="C60" t="s">
        <v>193</v>
      </c>
      <c r="D60" t="s">
        <v>194</v>
      </c>
      <c r="E60" t="n">
        <v>125.907995155085</v>
      </c>
      <c r="F60" t="n">
        <v>2.39940198618381</v>
      </c>
      <c r="G60" t="n">
        <v>48.8511290127186</v>
      </c>
      <c r="H60" t="s">
        <v>195</v>
      </c>
      <c r="I60" s="1" t="str">
        <f>HYPERLINK("https://www.google.com/maps/@?api=1&amp;map_action=pano&amp;viewpoint=48.8511290127186,2.39940198618381","Open GSV")</f>
      </c>
      <c r="J60" t="s">
        <v>22</v>
      </c>
      <c r="K60" t="s">
        <v>22</v>
      </c>
      <c r="L60" t="s">
        <v>22</v>
      </c>
    </row>
    <row r="61">
      <c r="A61" t="s">
        <v>18</v>
      </c>
      <c r="B61" t="s">
        <v>4</v>
      </c>
      <c r="C61" t="s">
        <v>196</v>
      </c>
      <c r="D61" t="s">
        <v>197</v>
      </c>
      <c r="E61" t="n">
        <v>111.33445075716</v>
      </c>
      <c r="F61" t="n">
        <v>2.35221058399361</v>
      </c>
      <c r="G61" t="n">
        <v>48.880000243902</v>
      </c>
      <c r="H61" t="s">
        <v>198</v>
      </c>
      <c r="I61" s="1" t="str">
        <f>HYPERLINK("https://www.google.com/maps/@?api=1&amp;map_action=pano&amp;viewpoint=48.880000243902,2.35221058399361","Open GSV")</f>
      </c>
      <c r="J61" t="s">
        <v>22</v>
      </c>
      <c r="K61" t="s">
        <v>22</v>
      </c>
      <c r="L61" t="s">
        <v>22</v>
      </c>
    </row>
    <row r="62">
      <c r="A62" t="s">
        <v>18</v>
      </c>
      <c r="B62" t="s">
        <v>4</v>
      </c>
      <c r="C62" t="s">
        <v>199</v>
      </c>
      <c r="D62" t="s">
        <v>200</v>
      </c>
      <c r="E62" t="n">
        <v>216.082355179334</v>
      </c>
      <c r="F62" t="n">
        <v>2.34819764872028</v>
      </c>
      <c r="G62" t="n">
        <v>48.8824242473778</v>
      </c>
      <c r="H62" t="s">
        <v>201</v>
      </c>
      <c r="I62" s="1" t="str">
        <f>HYPERLINK("https://www.google.com/maps/@?api=1&amp;map_action=pano&amp;viewpoint=48.8824242473778,2.34819764872028","Open GSV")</f>
      </c>
      <c r="J62" t="s">
        <v>22</v>
      </c>
      <c r="K62" t="s">
        <v>22</v>
      </c>
      <c r="L62" t="s">
        <v>22</v>
      </c>
    </row>
    <row r="63">
      <c r="A63" t="s">
        <v>18</v>
      </c>
      <c r="B63" t="s">
        <v>4</v>
      </c>
      <c r="C63" t="s">
        <v>202</v>
      </c>
      <c r="D63" t="s">
        <v>203</v>
      </c>
      <c r="E63" t="n">
        <v>87.5594398228721</v>
      </c>
      <c r="F63" t="n">
        <v>2.33413642380506</v>
      </c>
      <c r="G63" t="n">
        <v>48.8837954448908</v>
      </c>
      <c r="H63" t="s">
        <v>204</v>
      </c>
      <c r="I63" s="1" t="str">
        <f>HYPERLINK("https://www.google.com/maps/@?api=1&amp;map_action=pano&amp;viewpoint=48.8837954448908,2.33413642380506","Open GSV")</f>
      </c>
      <c r="J63" t="s">
        <v>22</v>
      </c>
      <c r="K63" t="s">
        <v>22</v>
      </c>
      <c r="L63" t="s">
        <v>22</v>
      </c>
    </row>
    <row r="64">
      <c r="A64" t="s">
        <v>18</v>
      </c>
      <c r="B64" t="s">
        <v>4</v>
      </c>
      <c r="C64" t="s">
        <v>205</v>
      </c>
      <c r="D64" t="s">
        <v>206</v>
      </c>
      <c r="E64" t="n">
        <v>88.8280015990338</v>
      </c>
      <c r="F64" t="n">
        <v>2.33335523198302</v>
      </c>
      <c r="G64" t="n">
        <v>48.8840191449703</v>
      </c>
      <c r="H64" t="s">
        <v>207</v>
      </c>
      <c r="I64" s="1" t="str">
        <f>HYPERLINK("https://www.google.com/maps/@?api=1&amp;map_action=pano&amp;viewpoint=48.8840191449703,2.33335523198302","Open GSV")</f>
      </c>
      <c r="J64" t="s">
        <v>22</v>
      </c>
      <c r="K64" t="s">
        <v>22</v>
      </c>
      <c r="L64" t="s">
        <v>22</v>
      </c>
    </row>
    <row r="65">
      <c r="A65" t="s">
        <v>18</v>
      </c>
      <c r="B65" t="s">
        <v>4</v>
      </c>
      <c r="C65" t="s">
        <v>208</v>
      </c>
      <c r="D65" t="s">
        <v>209</v>
      </c>
      <c r="E65" t="n">
        <v>51.5089252324776</v>
      </c>
      <c r="F65" t="n">
        <v>2.39557804361045</v>
      </c>
      <c r="G65" t="n">
        <v>48.8739628363458</v>
      </c>
      <c r="H65" t="s">
        <v>210</v>
      </c>
      <c r="I65" s="1" t="str">
        <f>HYPERLINK("https://www.google.com/maps/@?api=1&amp;map_action=pano&amp;viewpoint=48.8739628363458,2.39557804361045","Open GSV")</f>
      </c>
      <c r="J65" t="s">
        <v>22</v>
      </c>
      <c r="K65" t="s">
        <v>22</v>
      </c>
      <c r="L65" t="s">
        <v>22</v>
      </c>
    </row>
    <row r="66">
      <c r="A66" t="s">
        <v>18</v>
      </c>
      <c r="B66" t="s">
        <v>4</v>
      </c>
      <c r="C66" t="s">
        <v>211</v>
      </c>
      <c r="D66" t="s">
        <v>212</v>
      </c>
      <c r="E66" t="n">
        <v>206.320881983945</v>
      </c>
      <c r="F66" t="n">
        <v>2.37800999149546</v>
      </c>
      <c r="G66" t="n">
        <v>48.8733915497962</v>
      </c>
      <c r="H66" t="s">
        <v>213</v>
      </c>
      <c r="I66" s="1" t="str">
        <f>HYPERLINK("https://www.google.com/maps/@?api=1&amp;map_action=pano&amp;viewpoint=48.8733915497962,2.37800999149546","Open GSV")</f>
      </c>
      <c r="J66" t="s">
        <v>22</v>
      </c>
      <c r="K66" t="s">
        <v>22</v>
      </c>
      <c r="L66" t="s">
        <v>22</v>
      </c>
    </row>
    <row r="67">
      <c r="A67" t="s">
        <v>18</v>
      </c>
      <c r="B67" t="s">
        <v>4</v>
      </c>
      <c r="C67" t="s">
        <v>214</v>
      </c>
      <c r="D67" t="s">
        <v>215</v>
      </c>
      <c r="E67" t="n">
        <v>105.276920291025</v>
      </c>
      <c r="F67" t="n">
        <v>2.34419110708597</v>
      </c>
      <c r="G67" t="n">
        <v>48.8339554324555</v>
      </c>
      <c r="H67" t="s">
        <v>216</v>
      </c>
      <c r="I67" s="1" t="str">
        <f>HYPERLINK("https://www.google.com/maps/@?api=1&amp;map_action=pano&amp;viewpoint=48.8339554324555,2.34419110708597","Open GSV")</f>
      </c>
      <c r="J67" t="s">
        <v>22</v>
      </c>
      <c r="K67" t="s">
        <v>22</v>
      </c>
      <c r="L67" t="s">
        <v>22</v>
      </c>
    </row>
    <row r="68">
      <c r="A68" t="s">
        <v>18</v>
      </c>
      <c r="B68" t="s">
        <v>4</v>
      </c>
      <c r="C68" t="s">
        <v>217</v>
      </c>
      <c r="D68" t="s">
        <v>218</v>
      </c>
      <c r="E68" t="n">
        <v>106.799764585353</v>
      </c>
      <c r="F68" t="n">
        <v>2.29900489472833</v>
      </c>
      <c r="G68" t="n">
        <v>48.840049878232</v>
      </c>
      <c r="H68" t="s">
        <v>219</v>
      </c>
      <c r="I68" s="1" t="str">
        <f>HYPERLINK("https://www.google.com/maps/@?api=1&amp;map_action=pano&amp;viewpoint=48.840049878232,2.29900489472833","Open GSV")</f>
      </c>
      <c r="J68" t="s">
        <v>22</v>
      </c>
      <c r="K68" t="s">
        <v>22</v>
      </c>
      <c r="L68" t="s">
        <v>22</v>
      </c>
    </row>
    <row r="69">
      <c r="A69" t="s">
        <v>18</v>
      </c>
      <c r="B69" t="s">
        <v>4</v>
      </c>
      <c r="C69" t="s">
        <v>220</v>
      </c>
      <c r="D69" t="s">
        <v>221</v>
      </c>
      <c r="E69" t="n">
        <v>101.413368022727</v>
      </c>
      <c r="F69" t="n">
        <v>2.30397288893021</v>
      </c>
      <c r="G69" t="n">
        <v>48.8310843278222</v>
      </c>
      <c r="H69" t="s">
        <v>222</v>
      </c>
      <c r="I69" s="1" t="str">
        <f>HYPERLINK("https://www.google.com/maps/@?api=1&amp;map_action=pano&amp;viewpoint=48.8310843278222,2.30397288893021","Open GSV")</f>
      </c>
      <c r="J69" t="s">
        <v>22</v>
      </c>
      <c r="K69" t="s">
        <v>22</v>
      </c>
      <c r="L69" t="s">
        <v>22</v>
      </c>
    </row>
    <row r="70">
      <c r="A70" t="s">
        <v>18</v>
      </c>
      <c r="B70" t="s">
        <v>4</v>
      </c>
      <c r="C70" t="s">
        <v>223</v>
      </c>
      <c r="D70" t="s">
        <v>224</v>
      </c>
      <c r="E70" t="n">
        <v>165.429605323946</v>
      </c>
      <c r="F70" t="n">
        <v>2.38775803864298</v>
      </c>
      <c r="G70" t="n">
        <v>48.8639124103517</v>
      </c>
      <c r="H70" t="s">
        <v>225</v>
      </c>
      <c r="I70" s="1" t="str">
        <f>HYPERLINK("https://www.google.com/maps/@?api=1&amp;map_action=pano&amp;viewpoint=48.8639124103517,2.38775803864298","Open GSV")</f>
      </c>
      <c r="J70" t="s">
        <v>22</v>
      </c>
      <c r="K70" t="s">
        <v>22</v>
      </c>
      <c r="L70" t="s">
        <v>22</v>
      </c>
    </row>
    <row r="71">
      <c r="A71" t="s">
        <v>18</v>
      </c>
      <c r="B71" t="s">
        <v>4</v>
      </c>
      <c r="C71" t="s">
        <v>226</v>
      </c>
      <c r="D71" t="s">
        <v>227</v>
      </c>
      <c r="E71" t="n">
        <v>64.2890090805083</v>
      </c>
      <c r="F71" t="n">
        <v>2.35332849893286</v>
      </c>
      <c r="G71" t="n">
        <v>48.8657452667592</v>
      </c>
      <c r="H71" t="s">
        <v>228</v>
      </c>
      <c r="I71" s="1" t="str">
        <f>HYPERLINK("https://www.google.com/maps/@?api=1&amp;map_action=pano&amp;viewpoint=48.8657452667592,2.35332849893286","Open GSV")</f>
      </c>
      <c r="J71" t="s">
        <v>22</v>
      </c>
      <c r="K71" t="s">
        <v>22</v>
      </c>
      <c r="L71" t="s">
        <v>22</v>
      </c>
    </row>
    <row r="72">
      <c r="A72" t="s">
        <v>18</v>
      </c>
      <c r="B72" t="s">
        <v>4</v>
      </c>
      <c r="C72" t="s">
        <v>229</v>
      </c>
      <c r="D72" t="s">
        <v>230</v>
      </c>
      <c r="E72" t="n">
        <v>130.88004380873</v>
      </c>
      <c r="F72" t="n">
        <v>2.3383989055209</v>
      </c>
      <c r="G72" t="n">
        <v>48.866167893487</v>
      </c>
      <c r="H72" t="s">
        <v>231</v>
      </c>
      <c r="I72" s="1" t="str">
        <f>HYPERLINK("https://www.google.com/maps/@?api=1&amp;map_action=pano&amp;viewpoint=48.866167893487,2.3383989055209","Open GSV")</f>
      </c>
      <c r="J72" t="s">
        <v>22</v>
      </c>
      <c r="K72" t="s">
        <v>22</v>
      </c>
      <c r="L72" t="s">
        <v>22</v>
      </c>
    </row>
    <row r="73">
      <c r="A73" t="s">
        <v>18</v>
      </c>
      <c r="B73" t="s">
        <v>4</v>
      </c>
      <c r="C73" t="s">
        <v>232</v>
      </c>
      <c r="D73" t="s">
        <v>233</v>
      </c>
      <c r="E73" t="n">
        <v>34.5821739068221</v>
      </c>
      <c r="F73" t="n">
        <v>2.34851025839197</v>
      </c>
      <c r="G73" t="n">
        <v>48.8502725568032</v>
      </c>
      <c r="H73" t="s">
        <v>234</v>
      </c>
      <c r="I73" s="1" t="str">
        <f>HYPERLINK("https://www.google.com/maps/@?api=1&amp;map_action=pano&amp;viewpoint=48.8502725568032,2.34851025839197","Open GSV")</f>
      </c>
      <c r="J73" t="s">
        <v>22</v>
      </c>
      <c r="K73" t="s">
        <v>22</v>
      </c>
      <c r="L73" t="s">
        <v>22</v>
      </c>
    </row>
    <row r="74">
      <c r="A74" t="s">
        <v>18</v>
      </c>
      <c r="B74" t="s">
        <v>4</v>
      </c>
      <c r="C74" t="s">
        <v>235</v>
      </c>
      <c r="D74" t="s">
        <v>236</v>
      </c>
      <c r="E74" t="n">
        <v>155.620977644008</v>
      </c>
      <c r="F74" t="n">
        <v>2.3553161399499</v>
      </c>
      <c r="G74" t="n">
        <v>48.8559268812272</v>
      </c>
      <c r="H74" t="s">
        <v>237</v>
      </c>
      <c r="I74" s="1" t="str">
        <f>HYPERLINK("https://www.google.com/maps/@?api=1&amp;map_action=pano&amp;viewpoint=48.8559268812272,2.3553161399499","Open GSV")</f>
      </c>
      <c r="J74" t="s">
        <v>22</v>
      </c>
      <c r="K74" t="s">
        <v>22</v>
      </c>
      <c r="L74" t="s">
        <v>22</v>
      </c>
    </row>
    <row r="75">
      <c r="A75" t="s">
        <v>18</v>
      </c>
      <c r="B75" t="s">
        <v>4</v>
      </c>
      <c r="C75" t="s">
        <v>238</v>
      </c>
      <c r="D75" t="s">
        <v>239</v>
      </c>
      <c r="E75" t="n">
        <v>16.1071099826556</v>
      </c>
      <c r="F75" t="n">
        <v>2.32349509927942</v>
      </c>
      <c r="G75" t="n">
        <v>48.8394336603869</v>
      </c>
      <c r="H75" t="s">
        <v>240</v>
      </c>
      <c r="I75" s="1" t="str">
        <f>HYPERLINK("https://www.google.com/maps/@?api=1&amp;map_action=pano&amp;viewpoint=48.8394336603869,2.32349509927942","Open GSV")</f>
      </c>
      <c r="J75" t="s">
        <v>22</v>
      </c>
      <c r="K75" t="s">
        <v>22</v>
      </c>
      <c r="L75" t="s">
        <v>22</v>
      </c>
    </row>
    <row r="76">
      <c r="A76" t="s">
        <v>18</v>
      </c>
      <c r="B76" t="s">
        <v>4</v>
      </c>
      <c r="C76" t="s">
        <v>241</v>
      </c>
      <c r="D76" t="s">
        <v>99</v>
      </c>
      <c r="E76" t="n">
        <v>29.0882885472877</v>
      </c>
      <c r="F76" t="n">
        <v>2.37053272856072</v>
      </c>
      <c r="G76" t="n">
        <v>48.8659412308436</v>
      </c>
      <c r="H76" t="s">
        <v>242</v>
      </c>
      <c r="I76" s="1" t="str">
        <f>HYPERLINK("https://www.google.com/maps/@?api=1&amp;map_action=pano&amp;viewpoint=48.8659412308436,2.37053272856072","Open GSV")</f>
      </c>
      <c r="J76" t="s">
        <v>22</v>
      </c>
      <c r="K76" t="s">
        <v>22</v>
      </c>
      <c r="L76" t="s">
        <v>22</v>
      </c>
    </row>
    <row r="77">
      <c r="A77" t="s">
        <v>18</v>
      </c>
      <c r="B77" t="s">
        <v>4</v>
      </c>
      <c r="C77" t="s">
        <v>243</v>
      </c>
      <c r="D77" t="s">
        <v>244</v>
      </c>
      <c r="E77" t="n">
        <v>121.272110583296</v>
      </c>
      <c r="F77" t="n">
        <v>2.40600552948302</v>
      </c>
      <c r="G77" t="n">
        <v>48.8603348266218</v>
      </c>
      <c r="H77" t="s">
        <v>245</v>
      </c>
      <c r="I77" s="1" t="str">
        <f>HYPERLINK("https://www.google.com/maps/@?api=1&amp;map_action=pano&amp;viewpoint=48.8603348266218,2.40600552948302","Open GSV")</f>
      </c>
      <c r="J77" t="s">
        <v>22</v>
      </c>
      <c r="K77" t="s">
        <v>22</v>
      </c>
      <c r="L77" t="s">
        <v>22</v>
      </c>
    </row>
    <row r="78">
      <c r="A78" t="s">
        <v>18</v>
      </c>
      <c r="B78" t="s">
        <v>4</v>
      </c>
      <c r="C78" t="s">
        <v>246</v>
      </c>
      <c r="D78" t="s">
        <v>247</v>
      </c>
      <c r="E78" t="n">
        <v>111.613086112271</v>
      </c>
      <c r="F78" t="n">
        <v>2.261884401465</v>
      </c>
      <c r="G78" t="n">
        <v>48.8391082161822</v>
      </c>
      <c r="H78" t="s">
        <v>248</v>
      </c>
      <c r="I78" s="1" t="str">
        <f>HYPERLINK("https://www.google.com/maps/@?api=1&amp;map_action=pano&amp;viewpoint=48.8391082161822,2.261884401465","Open GSV")</f>
      </c>
      <c r="J78" t="s">
        <v>22</v>
      </c>
      <c r="K78" t="s">
        <v>22</v>
      </c>
      <c r="L78" t="s">
        <v>22</v>
      </c>
    </row>
    <row r="79">
      <c r="A79" t="s">
        <v>18</v>
      </c>
      <c r="B79" t="s">
        <v>4</v>
      </c>
      <c r="C79" t="s">
        <v>249</v>
      </c>
      <c r="D79" t="s">
        <v>250</v>
      </c>
      <c r="E79" t="n">
        <v>118.964969606143</v>
      </c>
      <c r="F79" t="n">
        <v>2.35602651682326</v>
      </c>
      <c r="G79" t="n">
        <v>48.8739874217427</v>
      </c>
      <c r="H79" t="s">
        <v>251</v>
      </c>
      <c r="I79" s="1" t="str">
        <f>HYPERLINK("https://www.google.com/maps/@?api=1&amp;map_action=pano&amp;viewpoint=48.8739874217427,2.35602651682326","Open GSV")</f>
      </c>
      <c r="J79" t="s">
        <v>22</v>
      </c>
      <c r="K79" t="s">
        <v>22</v>
      </c>
      <c r="L79" t="s">
        <v>22</v>
      </c>
    </row>
    <row r="80">
      <c r="A80" t="s">
        <v>18</v>
      </c>
      <c r="B80" t="s">
        <v>4</v>
      </c>
      <c r="C80" t="s">
        <v>252</v>
      </c>
      <c r="D80" t="s">
        <v>253</v>
      </c>
      <c r="E80" t="n">
        <v>78.3419350196477</v>
      </c>
      <c r="F80" t="n">
        <v>2.35350967675118</v>
      </c>
      <c r="G80" t="n">
        <v>48.8798329279207</v>
      </c>
      <c r="H80" t="s">
        <v>254</v>
      </c>
      <c r="I80" s="1" t="str">
        <f>HYPERLINK("https://www.google.com/maps/@?api=1&amp;map_action=pano&amp;viewpoint=48.8798329279207,2.35350967675118","Open GSV")</f>
      </c>
      <c r="J80" t="s">
        <v>22</v>
      </c>
      <c r="K80" t="s">
        <v>22</v>
      </c>
      <c r="L80" t="s">
        <v>22</v>
      </c>
    </row>
    <row r="81">
      <c r="A81" t="s">
        <v>18</v>
      </c>
      <c r="B81" t="s">
        <v>4</v>
      </c>
      <c r="C81" t="s">
        <v>255</v>
      </c>
      <c r="D81" t="s">
        <v>256</v>
      </c>
      <c r="E81" t="n">
        <v>137.641206636759</v>
      </c>
      <c r="F81" t="n">
        <v>2.38980033849778</v>
      </c>
      <c r="G81" t="n">
        <v>48.872199239049</v>
      </c>
      <c r="H81" t="s">
        <v>257</v>
      </c>
      <c r="I81" s="1" t="str">
        <f>HYPERLINK("https://www.google.com/maps/@?api=1&amp;map_action=pano&amp;viewpoint=48.872199239049,2.38980033849778","Open GSV")</f>
      </c>
      <c r="J81" t="s">
        <v>22</v>
      </c>
      <c r="K81" t="s">
        <v>22</v>
      </c>
      <c r="L81" t="s">
        <v>22</v>
      </c>
    </row>
    <row r="82">
      <c r="A82" t="s">
        <v>18</v>
      </c>
      <c r="B82" t="s">
        <v>4</v>
      </c>
      <c r="C82" t="s">
        <v>258</v>
      </c>
      <c r="D82" t="s">
        <v>259</v>
      </c>
      <c r="E82" t="n">
        <v>59.656619170403</v>
      </c>
      <c r="F82" t="n">
        <v>2.41340558978278</v>
      </c>
      <c r="G82" t="n">
        <v>48.839834258701</v>
      </c>
      <c r="H82" t="s">
        <v>260</v>
      </c>
      <c r="I82" s="1" t="str">
        <f>HYPERLINK("https://www.google.com/maps/@?api=1&amp;map_action=pano&amp;viewpoint=48.839834258701,2.41340558978278","Open GSV")</f>
      </c>
      <c r="J82" t="s">
        <v>22</v>
      </c>
      <c r="K82" t="s">
        <v>22</v>
      </c>
      <c r="L82" t="s">
        <v>22</v>
      </c>
    </row>
    <row r="83">
      <c r="A83" t="s">
        <v>18</v>
      </c>
      <c r="B83" t="s">
        <v>4</v>
      </c>
      <c r="C83" t="s">
        <v>261</v>
      </c>
      <c r="D83" t="s">
        <v>262</v>
      </c>
      <c r="E83" t="n">
        <v>84.5009224478975</v>
      </c>
      <c r="F83" t="n">
        <v>2.35545406824594</v>
      </c>
      <c r="G83" t="n">
        <v>48.8753892027067</v>
      </c>
      <c r="H83" t="s">
        <v>263</v>
      </c>
      <c r="I83" s="1" t="str">
        <f>HYPERLINK("https://www.google.com/maps/@?api=1&amp;map_action=pano&amp;viewpoint=48.8753892027067,2.35545406824594","Open GSV")</f>
      </c>
      <c r="J83" t="s">
        <v>22</v>
      </c>
      <c r="K83" t="s">
        <v>22</v>
      </c>
      <c r="L83" t="s">
        <v>22</v>
      </c>
    </row>
    <row r="84">
      <c r="A84" t="s">
        <v>18</v>
      </c>
      <c r="B84" t="s">
        <v>4</v>
      </c>
      <c r="C84" t="s">
        <v>264</v>
      </c>
      <c r="D84" t="s">
        <v>265</v>
      </c>
      <c r="E84" t="n">
        <v>49.2838878780278</v>
      </c>
      <c r="F84" t="n">
        <v>2.36304766399656</v>
      </c>
      <c r="G84" t="n">
        <v>48.8636637120974</v>
      </c>
      <c r="H84" t="s">
        <v>266</v>
      </c>
      <c r="I84" s="1" t="str">
        <f>HYPERLINK("https://www.google.com/maps/@?api=1&amp;map_action=pano&amp;viewpoint=48.8636637120974,2.36304766399656","Open GSV")</f>
      </c>
      <c r="J84" t="s">
        <v>22</v>
      </c>
      <c r="K84" t="s">
        <v>22</v>
      </c>
      <c r="L84" t="s">
        <v>22</v>
      </c>
    </row>
    <row r="85">
      <c r="A85" t="s">
        <v>18</v>
      </c>
      <c r="B85" t="s">
        <v>4</v>
      </c>
      <c r="C85" t="s">
        <v>267</v>
      </c>
      <c r="D85" t="s">
        <v>268</v>
      </c>
      <c r="E85" t="n">
        <v>192.387696641508</v>
      </c>
      <c r="F85" t="n">
        <v>2.32252289303794</v>
      </c>
      <c r="G85" t="n">
        <v>48.8251511270988</v>
      </c>
      <c r="H85" t="s">
        <v>269</v>
      </c>
      <c r="I85" s="1" t="str">
        <f>HYPERLINK("https://www.google.com/maps/@?api=1&amp;map_action=pano&amp;viewpoint=48.8251511270988,2.32252289303794","Open GSV")</f>
      </c>
      <c r="J85" t="s">
        <v>22</v>
      </c>
      <c r="K85" t="s">
        <v>22</v>
      </c>
      <c r="L85" t="s">
        <v>22</v>
      </c>
    </row>
    <row r="86">
      <c r="A86" t="s">
        <v>18</v>
      </c>
      <c r="B86" t="s">
        <v>4</v>
      </c>
      <c r="C86" t="s">
        <v>270</v>
      </c>
      <c r="D86" t="s">
        <v>271</v>
      </c>
      <c r="E86" t="n">
        <v>76.5909070438254</v>
      </c>
      <c r="F86" t="n">
        <v>2.39670355792532</v>
      </c>
      <c r="G86" t="n">
        <v>48.8730059946674</v>
      </c>
      <c r="H86" t="s">
        <v>272</v>
      </c>
      <c r="I86" s="1" t="str">
        <f>HYPERLINK("https://www.google.com/maps/@?api=1&amp;map_action=pano&amp;viewpoint=48.8730059946674,2.39670355792532","Open GSV")</f>
      </c>
      <c r="J86" t="s">
        <v>22</v>
      </c>
      <c r="K86" t="s">
        <v>22</v>
      </c>
      <c r="L86" t="s">
        <v>22</v>
      </c>
    </row>
    <row r="87">
      <c r="A87" t="s">
        <v>18</v>
      </c>
      <c r="B87" t="s">
        <v>4</v>
      </c>
      <c r="C87" t="s">
        <v>273</v>
      </c>
      <c r="D87" t="s">
        <v>274</v>
      </c>
      <c r="E87" t="n">
        <v>15.9771068910259</v>
      </c>
      <c r="F87" t="n">
        <v>2.33142349801922</v>
      </c>
      <c r="G87" t="n">
        <v>48.874272036988</v>
      </c>
      <c r="H87" t="s">
        <v>275</v>
      </c>
      <c r="I87" s="1" t="str">
        <f>HYPERLINK("https://www.google.com/maps/@?api=1&amp;map_action=pano&amp;viewpoint=48.874272036988,2.33142349801922","Open GSV")</f>
      </c>
      <c r="J87" t="s">
        <v>22</v>
      </c>
      <c r="K87" t="s">
        <v>22</v>
      </c>
      <c r="L87" t="s">
        <v>22</v>
      </c>
    </row>
    <row r="88">
      <c r="A88" t="s">
        <v>18</v>
      </c>
      <c r="B88" t="s">
        <v>4</v>
      </c>
      <c r="C88" t="s">
        <v>276</v>
      </c>
      <c r="D88" t="s">
        <v>277</v>
      </c>
      <c r="E88" t="n">
        <v>58.7780516491749</v>
      </c>
      <c r="F88" t="n">
        <v>2.34665998210752</v>
      </c>
      <c r="G88" t="n">
        <v>48.8598196461287</v>
      </c>
      <c r="H88" t="s">
        <v>278</v>
      </c>
      <c r="I88" s="1" t="str">
        <f>HYPERLINK("https://www.google.com/maps/@?api=1&amp;map_action=pano&amp;viewpoint=48.8598196461287,2.34665998210752","Open GSV")</f>
      </c>
      <c r="J88" t="s">
        <v>22</v>
      </c>
      <c r="K88" t="s">
        <v>22</v>
      </c>
      <c r="L88" t="s">
        <v>22</v>
      </c>
    </row>
    <row r="89">
      <c r="A89" t="s">
        <v>18</v>
      </c>
      <c r="B89" t="s">
        <v>4</v>
      </c>
      <c r="C89" t="s">
        <v>279</v>
      </c>
      <c r="D89" t="s">
        <v>280</v>
      </c>
      <c r="E89" t="n">
        <v>163.513826194797</v>
      </c>
      <c r="F89" t="n">
        <v>2.39658144426495</v>
      </c>
      <c r="G89" t="n">
        <v>48.8755162133492</v>
      </c>
      <c r="H89" t="s">
        <v>281</v>
      </c>
      <c r="I89" s="1" t="str">
        <f>HYPERLINK("https://www.google.com/maps/@?api=1&amp;map_action=pano&amp;viewpoint=48.8755162133492,2.39658144426495","Open GSV")</f>
      </c>
      <c r="J89" t="s">
        <v>22</v>
      </c>
      <c r="K89" t="s">
        <v>22</v>
      </c>
      <c r="L89" t="s">
        <v>22</v>
      </c>
    </row>
    <row r="90">
      <c r="A90" t="s">
        <v>18</v>
      </c>
      <c r="B90" t="s">
        <v>4</v>
      </c>
      <c r="C90" t="s">
        <v>282</v>
      </c>
      <c r="D90"/>
      <c r="E90" t="n">
        <v>19.0396998622198</v>
      </c>
      <c r="F90" t="n">
        <v>2.40002757022659</v>
      </c>
      <c r="G90" t="n">
        <v>48.8553790544891</v>
      </c>
      <c r="H90" t="s">
        <v>283</v>
      </c>
      <c r="I90" s="1" t="str">
        <f>HYPERLINK("https://www.google.com/maps/@?api=1&amp;map_action=pano&amp;viewpoint=48.8553790544891,2.40002757022659","Open GSV")</f>
      </c>
      <c r="J90" t="s">
        <v>22</v>
      </c>
      <c r="K90" t="s">
        <v>22</v>
      </c>
      <c r="L90" t="s">
        <v>22</v>
      </c>
    </row>
    <row r="91">
      <c r="A91" t="s">
        <v>18</v>
      </c>
      <c r="B91" t="s">
        <v>4</v>
      </c>
      <c r="C91" t="s">
        <v>284</v>
      </c>
      <c r="D91" t="s">
        <v>285</v>
      </c>
      <c r="E91" t="n">
        <v>134.846907022144</v>
      </c>
      <c r="F91" t="n">
        <v>2.34475112307242</v>
      </c>
      <c r="G91" t="n">
        <v>48.8637735361586</v>
      </c>
      <c r="H91" t="s">
        <v>286</v>
      </c>
      <c r="I91" s="1" t="str">
        <f>HYPERLINK("https://www.google.com/maps/@?api=1&amp;map_action=pano&amp;viewpoint=48.8637735361586,2.34475112307242","Open GSV")</f>
      </c>
      <c r="J91" t="s">
        <v>22</v>
      </c>
      <c r="K91" t="s">
        <v>22</v>
      </c>
      <c r="L91" t="s">
        <v>22</v>
      </c>
    </row>
    <row r="92">
      <c r="A92" t="s">
        <v>18</v>
      </c>
      <c r="B92" t="s">
        <v>4</v>
      </c>
      <c r="C92" t="s">
        <v>287</v>
      </c>
      <c r="D92" t="s">
        <v>288</v>
      </c>
      <c r="E92" t="n">
        <v>221.765360079115</v>
      </c>
      <c r="F92" t="n">
        <v>2.36326092574172</v>
      </c>
      <c r="G92" t="n">
        <v>48.8624262376148</v>
      </c>
      <c r="H92" t="s">
        <v>289</v>
      </c>
      <c r="I92" s="1" t="str">
        <f>HYPERLINK("https://www.google.com/maps/@?api=1&amp;map_action=pano&amp;viewpoint=48.8624262376148,2.36326092574172","Open GSV")</f>
      </c>
      <c r="J92" t="s">
        <v>22</v>
      </c>
      <c r="K92" t="s">
        <v>22</v>
      </c>
      <c r="L92" t="s">
        <v>22</v>
      </c>
    </row>
    <row r="93">
      <c r="A93" t="s">
        <v>18</v>
      </c>
      <c r="B93" t="s">
        <v>4</v>
      </c>
      <c r="C93" t="s">
        <v>290</v>
      </c>
      <c r="D93" t="s">
        <v>291</v>
      </c>
      <c r="E93" t="n">
        <v>45.9205321861069</v>
      </c>
      <c r="F93" t="n">
        <v>2.35396241137612</v>
      </c>
      <c r="G93" t="n">
        <v>48.8553959027978</v>
      </c>
      <c r="H93" t="s">
        <v>292</v>
      </c>
      <c r="I93" s="1" t="str">
        <f>HYPERLINK("https://www.google.com/maps/@?api=1&amp;map_action=pano&amp;viewpoint=48.8553959027978,2.35396241137612","Open GSV")</f>
      </c>
      <c r="J93" t="s">
        <v>22</v>
      </c>
      <c r="K93" t="s">
        <v>22</v>
      </c>
      <c r="L93" t="s">
        <v>22</v>
      </c>
    </row>
    <row r="94">
      <c r="A94" t="s">
        <v>18</v>
      </c>
      <c r="B94" t="s">
        <v>4</v>
      </c>
      <c r="C94" t="s">
        <v>293</v>
      </c>
      <c r="D94"/>
      <c r="E94" t="n">
        <v>46.4354059856382</v>
      </c>
      <c r="F94" t="n">
        <v>2.39459116736204</v>
      </c>
      <c r="G94" t="n">
        <v>48.8888697743429</v>
      </c>
      <c r="H94" t="s">
        <v>294</v>
      </c>
      <c r="I94" s="1" t="str">
        <f>HYPERLINK("https://www.google.com/maps/@?api=1&amp;map_action=pano&amp;viewpoint=48.8888697743429,2.39459116736204","Open GSV")</f>
      </c>
      <c r="J94" t="s">
        <v>22</v>
      </c>
      <c r="K94" t="s">
        <v>22</v>
      </c>
      <c r="L94" t="s">
        <v>22</v>
      </c>
    </row>
    <row r="95">
      <c r="A95" t="s">
        <v>18</v>
      </c>
      <c r="B95" t="s">
        <v>4</v>
      </c>
      <c r="C95" t="s">
        <v>295</v>
      </c>
      <c r="D95" t="s">
        <v>296</v>
      </c>
      <c r="E95" t="n">
        <v>172.619845272161</v>
      </c>
      <c r="F95" t="n">
        <v>2.40445394504507</v>
      </c>
      <c r="G95" t="n">
        <v>48.8774997838426</v>
      </c>
      <c r="H95" t="s">
        <v>297</v>
      </c>
      <c r="I95" s="1" t="str">
        <f>HYPERLINK("https://www.google.com/maps/@?api=1&amp;map_action=pano&amp;viewpoint=48.8774997838426,2.40445394504507","Open GSV")</f>
      </c>
      <c r="J95" t="s">
        <v>22</v>
      </c>
      <c r="K95" t="s">
        <v>22</v>
      </c>
      <c r="L95" t="s">
        <v>22</v>
      </c>
    </row>
    <row r="96">
      <c r="A96" t="s">
        <v>18</v>
      </c>
      <c r="B96" t="s">
        <v>4</v>
      </c>
      <c r="C96" t="s">
        <v>298</v>
      </c>
      <c r="D96" t="s">
        <v>299</v>
      </c>
      <c r="E96" t="n">
        <v>153.447004553858</v>
      </c>
      <c r="F96" t="n">
        <v>2.41159230671934</v>
      </c>
      <c r="G96" t="n">
        <v>48.8380652797863</v>
      </c>
      <c r="H96" t="s">
        <v>300</v>
      </c>
      <c r="I96" s="1" t="str">
        <f>HYPERLINK("https://www.google.com/maps/@?api=1&amp;map_action=pano&amp;viewpoint=48.8380652797863,2.41159230671934","Open GSV")</f>
      </c>
      <c r="J96" t="s">
        <v>22</v>
      </c>
      <c r="K96" t="s">
        <v>22</v>
      </c>
      <c r="L96" t="s">
        <v>22</v>
      </c>
    </row>
    <row r="97">
      <c r="A97" t="s">
        <v>18</v>
      </c>
      <c r="B97" t="s">
        <v>4</v>
      </c>
      <c r="C97" t="s">
        <v>301</v>
      </c>
      <c r="D97" t="s">
        <v>302</v>
      </c>
      <c r="E97" t="n">
        <v>120.872773810227</v>
      </c>
      <c r="F97" t="n">
        <v>2.32505129297425</v>
      </c>
      <c r="G97" t="n">
        <v>48.8554548925936</v>
      </c>
      <c r="H97" t="s">
        <v>303</v>
      </c>
      <c r="I97" s="1" t="str">
        <f>HYPERLINK("https://www.google.com/maps/@?api=1&amp;map_action=pano&amp;viewpoint=48.8554548925936,2.32505129297425","Open GSV")</f>
      </c>
      <c r="J97" t="s">
        <v>22</v>
      </c>
      <c r="K97" t="s">
        <v>22</v>
      </c>
      <c r="L97" t="s">
        <v>22</v>
      </c>
    </row>
    <row r="98">
      <c r="A98" t="s">
        <v>18</v>
      </c>
      <c r="B98" t="s">
        <v>4</v>
      </c>
      <c r="C98" t="s">
        <v>304</v>
      </c>
      <c r="D98" t="s">
        <v>305</v>
      </c>
      <c r="E98" t="n">
        <v>156.8284161403</v>
      </c>
      <c r="F98" t="n">
        <v>2.36144440938946</v>
      </c>
      <c r="G98" t="n">
        <v>48.8297477742731</v>
      </c>
      <c r="H98" t="s">
        <v>306</v>
      </c>
      <c r="I98" s="1" t="str">
        <f>HYPERLINK("https://www.google.com/maps/@?api=1&amp;map_action=pano&amp;viewpoint=48.8297477742731,2.36144440938946","Open GSV")</f>
      </c>
      <c r="J98" t="s">
        <v>22</v>
      </c>
      <c r="K98" t="s">
        <v>22</v>
      </c>
      <c r="L98" t="s">
        <v>22</v>
      </c>
    </row>
    <row r="99">
      <c r="A99" t="s">
        <v>18</v>
      </c>
      <c r="B99" t="s">
        <v>4</v>
      </c>
      <c r="C99" t="s">
        <v>307</v>
      </c>
      <c r="D99" t="s">
        <v>308</v>
      </c>
      <c r="E99" t="n">
        <v>90.7206726447127</v>
      </c>
      <c r="F99" t="n">
        <v>2.37152604100143</v>
      </c>
      <c r="G99" t="n">
        <v>48.8761333515295</v>
      </c>
      <c r="H99" t="s">
        <v>309</v>
      </c>
      <c r="I99" s="1" t="str">
        <f>HYPERLINK("https://www.google.com/maps/@?api=1&amp;map_action=pano&amp;viewpoint=48.8761333515295,2.37152604100143","Open GSV")</f>
      </c>
      <c r="J99" t="s">
        <v>22</v>
      </c>
      <c r="K99" t="s">
        <v>22</v>
      </c>
      <c r="L99" t="s">
        <v>22</v>
      </c>
    </row>
    <row r="100">
      <c r="A100" t="s">
        <v>18</v>
      </c>
      <c r="B100" t="s">
        <v>4</v>
      </c>
      <c r="C100" t="s">
        <v>310</v>
      </c>
      <c r="D100" t="s">
        <v>311</v>
      </c>
      <c r="E100" t="n">
        <v>180.8558493362</v>
      </c>
      <c r="F100" t="n">
        <v>2.35490882557171</v>
      </c>
      <c r="G100" t="n">
        <v>48.8736101564646</v>
      </c>
      <c r="H100" t="s">
        <v>312</v>
      </c>
      <c r="I100" s="1" t="str">
        <f>HYPERLINK("https://www.google.com/maps/@?api=1&amp;map_action=pano&amp;viewpoint=48.8736101564646,2.35490882557171","Open GSV")</f>
      </c>
      <c r="J100" t="s">
        <v>22</v>
      </c>
      <c r="K100" t="s">
        <v>22</v>
      </c>
      <c r="L100" t="s">
        <v>22</v>
      </c>
    </row>
    <row r="101">
      <c r="A101" t="s">
        <v>18</v>
      </c>
      <c r="B101" t="s">
        <v>4</v>
      </c>
      <c r="C101" t="s">
        <v>313</v>
      </c>
      <c r="D101" t="s">
        <v>314</v>
      </c>
      <c r="E101" t="n">
        <v>95.2950376052746</v>
      </c>
      <c r="F101" t="n">
        <v>2.35352741107674</v>
      </c>
      <c r="G101" t="n">
        <v>48.8880500149221</v>
      </c>
      <c r="H101" t="s">
        <v>315</v>
      </c>
      <c r="I101" s="1" t="str">
        <f>HYPERLINK("https://www.google.com/maps/@?api=1&amp;map_action=pano&amp;viewpoint=48.8880500149221,2.35352741107674","Open GSV")</f>
      </c>
      <c r="J101" t="s">
        <v>22</v>
      </c>
      <c r="K101" t="s">
        <v>22</v>
      </c>
      <c r="L101" t="s">
        <v>22</v>
      </c>
    </row>
    <row r="102">
      <c r="A102" t="s">
        <v>18</v>
      </c>
      <c r="B102" t="s">
        <v>5</v>
      </c>
      <c r="C102" t="s">
        <v>316</v>
      </c>
      <c r="D102" t="s">
        <v>317</v>
      </c>
      <c r="E102" t="n">
        <v>44.4849782983857</v>
      </c>
      <c r="F102" t="n">
        <v>2.25922035541432</v>
      </c>
      <c r="G102" t="n">
        <v>48.8487241601981</v>
      </c>
      <c r="H102" t="s">
        <v>318</v>
      </c>
      <c r="I102" s="1" t="str">
        <f>HYPERLINK("https://www.google.com/maps/@?api=1&amp;map_action=pano&amp;viewpoint=48.8487241601981,2.25922035541432","Open GSV")</f>
      </c>
      <c r="J102" t="s">
        <v>22</v>
      </c>
      <c r="K102" t="s">
        <v>22</v>
      </c>
      <c r="L102" t="s">
        <v>22</v>
      </c>
    </row>
    <row r="103">
      <c r="A103" t="s">
        <v>18</v>
      </c>
      <c r="B103" t="s">
        <v>5</v>
      </c>
      <c r="C103" t="s">
        <v>319</v>
      </c>
      <c r="D103" t="s">
        <v>320</v>
      </c>
      <c r="E103" t="n">
        <v>114.383140107251</v>
      </c>
      <c r="F103" t="n">
        <v>2.2849015892364</v>
      </c>
      <c r="G103" t="n">
        <v>48.8814044348366</v>
      </c>
      <c r="H103" t="s">
        <v>321</v>
      </c>
      <c r="I103" s="1" t="str">
        <f>HYPERLINK("https://www.google.com/maps/@?api=1&amp;map_action=pano&amp;viewpoint=48.8814044348366,2.2849015892364","Open GSV")</f>
      </c>
      <c r="J103" t="s">
        <v>22</v>
      </c>
      <c r="K103" t="s">
        <v>22</v>
      </c>
      <c r="L103" t="s">
        <v>22</v>
      </c>
    </row>
    <row r="104">
      <c r="A104" t="s">
        <v>18</v>
      </c>
      <c r="B104" t="s">
        <v>5</v>
      </c>
      <c r="C104" t="s">
        <v>322</v>
      </c>
      <c r="D104" t="s">
        <v>323</v>
      </c>
      <c r="E104" t="n">
        <v>25.9827950643619</v>
      </c>
      <c r="F104" t="n">
        <v>2.35936694998128</v>
      </c>
      <c r="G104" t="n">
        <v>48.8997982000065</v>
      </c>
      <c r="H104" t="s">
        <v>324</v>
      </c>
      <c r="I104" s="1" t="str">
        <f>HYPERLINK("https://www.google.com/maps/@?api=1&amp;map_action=pano&amp;viewpoint=48.8997982000065,2.35936694998128","Open GSV")</f>
      </c>
      <c r="J104" t="s">
        <v>22</v>
      </c>
      <c r="K104" t="s">
        <v>22</v>
      </c>
      <c r="L104" t="s">
        <v>22</v>
      </c>
    </row>
    <row r="105">
      <c r="A105" t="s">
        <v>18</v>
      </c>
      <c r="B105" t="s">
        <v>5</v>
      </c>
      <c r="C105" t="s">
        <v>325</v>
      </c>
      <c r="D105" t="s">
        <v>323</v>
      </c>
      <c r="E105" t="n">
        <v>70.8898940756746</v>
      </c>
      <c r="F105" t="n">
        <v>2.35964154920087</v>
      </c>
      <c r="G105" t="n">
        <v>48.900960869026</v>
      </c>
      <c r="H105" t="s">
        <v>326</v>
      </c>
      <c r="I105" s="1" t="str">
        <f>HYPERLINK("https://www.google.com/maps/@?api=1&amp;map_action=pano&amp;viewpoint=48.900960869026,2.35964154920087","Open GSV")</f>
      </c>
      <c r="J105" t="s">
        <v>22</v>
      </c>
      <c r="K105" t="s">
        <v>22</v>
      </c>
      <c r="L105" t="s">
        <v>22</v>
      </c>
    </row>
    <row r="106">
      <c r="A106" t="s">
        <v>18</v>
      </c>
      <c r="B106" t="s">
        <v>5</v>
      </c>
      <c r="C106" t="s">
        <v>327</v>
      </c>
      <c r="D106" t="s">
        <v>328</v>
      </c>
      <c r="E106" t="n">
        <v>18.588491513585</v>
      </c>
      <c r="F106" t="n">
        <v>2.3333097063577</v>
      </c>
      <c r="G106" t="n">
        <v>48.8600294483374</v>
      </c>
      <c r="H106" t="s">
        <v>329</v>
      </c>
      <c r="I106" s="1" t="str">
        <f>HYPERLINK("https://www.google.com/maps/@?api=1&amp;map_action=pano&amp;viewpoint=48.8600294483374,2.3333097063577","Open GSV")</f>
      </c>
      <c r="J106" t="s">
        <v>22</v>
      </c>
      <c r="K106" t="s">
        <v>22</v>
      </c>
      <c r="L106" t="s">
        <v>22</v>
      </c>
    </row>
    <row r="107">
      <c r="A107" t="s">
        <v>18</v>
      </c>
      <c r="B107" t="s">
        <v>5</v>
      </c>
      <c r="C107" t="s">
        <v>330</v>
      </c>
      <c r="D107" t="s">
        <v>331</v>
      </c>
      <c r="E107" t="n">
        <v>328.749185986637</v>
      </c>
      <c r="F107" t="n">
        <v>2.35220648658822</v>
      </c>
      <c r="G107" t="n">
        <v>48.8589033518656</v>
      </c>
      <c r="H107" t="s">
        <v>332</v>
      </c>
      <c r="I107" s="1" t="str">
        <f>HYPERLINK("https://www.google.com/maps/@?api=1&amp;map_action=pano&amp;viewpoint=48.8589033518656,2.35220648658822","Open GSV")</f>
      </c>
      <c r="J107" t="s">
        <v>22</v>
      </c>
      <c r="K107" t="s">
        <v>22</v>
      </c>
      <c r="L107" t="s">
        <v>22</v>
      </c>
    </row>
    <row r="108">
      <c r="A108" t="s">
        <v>18</v>
      </c>
      <c r="B108" t="s">
        <v>5</v>
      </c>
      <c r="C108" t="s">
        <v>333</v>
      </c>
      <c r="D108" t="s">
        <v>334</v>
      </c>
      <c r="E108" t="n">
        <v>106.183640947274</v>
      </c>
      <c r="F108" t="n">
        <v>2.37699984651881</v>
      </c>
      <c r="G108" t="n">
        <v>48.8418168658893</v>
      </c>
      <c r="H108" t="s">
        <v>335</v>
      </c>
      <c r="I108" s="1" t="str">
        <f>HYPERLINK("https://www.google.com/maps/@?api=1&amp;map_action=pano&amp;viewpoint=48.8418168658893,2.37699984651881","Open GSV")</f>
      </c>
      <c r="J108" t="s">
        <v>22</v>
      </c>
      <c r="K108" t="s">
        <v>22</v>
      </c>
      <c r="L108" t="s">
        <v>22</v>
      </c>
    </row>
    <row r="109">
      <c r="A109" t="s">
        <v>18</v>
      </c>
      <c r="B109" t="s">
        <v>5</v>
      </c>
      <c r="C109" t="s">
        <v>336</v>
      </c>
      <c r="D109" t="s">
        <v>337</v>
      </c>
      <c r="E109" t="n">
        <v>34.1802361487356</v>
      </c>
      <c r="F109" t="n">
        <v>2.29339729321932</v>
      </c>
      <c r="G109" t="n">
        <v>48.8643090211183</v>
      </c>
      <c r="H109" t="s">
        <v>338</v>
      </c>
      <c r="I109" s="1" t="str">
        <f>HYPERLINK("https://www.google.com/maps/@?api=1&amp;map_action=pano&amp;viewpoint=48.8643090211183,2.29339729321932","Open GSV")</f>
      </c>
      <c r="J109" t="s">
        <v>22</v>
      </c>
      <c r="K109" t="s">
        <v>22</v>
      </c>
      <c r="L109" t="s">
        <v>22</v>
      </c>
    </row>
    <row r="110">
      <c r="A110" t="s">
        <v>18</v>
      </c>
      <c r="B110" t="s">
        <v>5</v>
      </c>
      <c r="C110" t="s">
        <v>339</v>
      </c>
      <c r="D110" t="s">
        <v>340</v>
      </c>
      <c r="E110" t="n">
        <v>61.8081214069593</v>
      </c>
      <c r="F110" t="n">
        <v>2.26781258789192</v>
      </c>
      <c r="G110" t="n">
        <v>48.8367233068937</v>
      </c>
      <c r="H110" t="s">
        <v>341</v>
      </c>
      <c r="I110" s="1" t="str">
        <f>HYPERLINK("https://www.google.com/maps/@?api=1&amp;map_action=pano&amp;viewpoint=48.8367233068937,2.26781258789192","Open GSV")</f>
      </c>
      <c r="J110" t="s">
        <v>22</v>
      </c>
      <c r="K110" t="s">
        <v>22</v>
      </c>
      <c r="L110" t="s">
        <v>22</v>
      </c>
    </row>
    <row r="111">
      <c r="A111" t="s">
        <v>18</v>
      </c>
      <c r="B111" t="s">
        <v>5</v>
      </c>
      <c r="C111" t="s">
        <v>342</v>
      </c>
      <c r="D111" t="s">
        <v>343</v>
      </c>
      <c r="E111" t="n">
        <v>80.7824541404407</v>
      </c>
      <c r="F111" t="n">
        <v>2.2846906042237</v>
      </c>
      <c r="G111" t="n">
        <v>48.880791304178</v>
      </c>
      <c r="H111" t="s">
        <v>344</v>
      </c>
      <c r="I111" s="1" t="str">
        <f>HYPERLINK("https://www.google.com/maps/@?api=1&amp;map_action=pano&amp;viewpoint=48.880791304178,2.2846906042237","Open GSV")</f>
      </c>
      <c r="J111" t="s">
        <v>22</v>
      </c>
      <c r="K111" t="s">
        <v>22</v>
      </c>
      <c r="L111" t="s">
        <v>22</v>
      </c>
    </row>
    <row r="112">
      <c r="A112" t="s">
        <v>18</v>
      </c>
      <c r="B112" t="s">
        <v>5</v>
      </c>
      <c r="C112" t="s">
        <v>345</v>
      </c>
      <c r="D112" t="s">
        <v>346</v>
      </c>
      <c r="E112" t="n">
        <v>24.5336987506083</v>
      </c>
      <c r="F112" t="n">
        <v>2.37028487491972</v>
      </c>
      <c r="G112" t="n">
        <v>48.8784281213501</v>
      </c>
      <c r="H112" t="s">
        <v>347</v>
      </c>
      <c r="I112" s="1" t="str">
        <f>HYPERLINK("https://www.google.com/maps/@?api=1&amp;map_action=pano&amp;viewpoint=48.8784281213501,2.37028487491972","Open GSV")</f>
      </c>
      <c r="J112" t="s">
        <v>22</v>
      </c>
      <c r="K112" t="s">
        <v>22</v>
      </c>
      <c r="L112" t="s">
        <v>22</v>
      </c>
    </row>
    <row r="113">
      <c r="A113" t="s">
        <v>18</v>
      </c>
      <c r="B113" t="s">
        <v>5</v>
      </c>
      <c r="C113" t="s">
        <v>348</v>
      </c>
      <c r="D113" t="s">
        <v>349</v>
      </c>
      <c r="E113" t="n">
        <v>43.3529877089473</v>
      </c>
      <c r="F113" t="n">
        <v>2.33342131410909</v>
      </c>
      <c r="G113" t="n">
        <v>48.8339480289856</v>
      </c>
      <c r="H113" t="s">
        <v>350</v>
      </c>
      <c r="I113" s="1" t="str">
        <f>HYPERLINK("https://www.google.com/maps/@?api=1&amp;map_action=pano&amp;viewpoint=48.8339480289856,2.33342131410909","Open GSV")</f>
      </c>
      <c r="J113" t="s">
        <v>22</v>
      </c>
      <c r="K113" t="s">
        <v>22</v>
      </c>
      <c r="L113" t="s">
        <v>22</v>
      </c>
    </row>
    <row r="114">
      <c r="A114" t="s">
        <v>18</v>
      </c>
      <c r="B114" t="s">
        <v>5</v>
      </c>
      <c r="C114" t="s">
        <v>351</v>
      </c>
      <c r="D114"/>
      <c r="E114" t="n">
        <v>73.2874382671385</v>
      </c>
      <c r="F114" t="n">
        <v>2.28047319876762</v>
      </c>
      <c r="G114" t="n">
        <v>48.8784194502349</v>
      </c>
      <c r="H114" t="s">
        <v>352</v>
      </c>
      <c r="I114" s="1" t="str">
        <f>HYPERLINK("https://www.google.com/maps/@?api=1&amp;map_action=pano&amp;viewpoint=48.8784194502349,2.28047319876762","Open GSV")</f>
      </c>
      <c r="J114" t="s">
        <v>22</v>
      </c>
      <c r="K114" t="s">
        <v>22</v>
      </c>
      <c r="L114" t="s">
        <v>22</v>
      </c>
    </row>
    <row r="115">
      <c r="A115" t="s">
        <v>18</v>
      </c>
      <c r="B115" t="s">
        <v>5</v>
      </c>
      <c r="C115" t="s">
        <v>353</v>
      </c>
      <c r="D115" t="s">
        <v>354</v>
      </c>
      <c r="E115" t="n">
        <v>249.239484897047</v>
      </c>
      <c r="F115" t="n">
        <v>2.37532109028204</v>
      </c>
      <c r="G115" t="n">
        <v>48.8592621672338</v>
      </c>
      <c r="H115" t="s">
        <v>355</v>
      </c>
      <c r="I115" s="1" t="str">
        <f>HYPERLINK("https://www.google.com/maps/@?api=1&amp;map_action=pano&amp;viewpoint=48.8592621672338,2.37532109028204","Open GSV")</f>
      </c>
      <c r="J115" t="s">
        <v>22</v>
      </c>
      <c r="K115" t="s">
        <v>22</v>
      </c>
      <c r="L115" t="s">
        <v>22</v>
      </c>
    </row>
    <row r="116">
      <c r="A116" t="s">
        <v>18</v>
      </c>
      <c r="B116" t="s">
        <v>5</v>
      </c>
      <c r="C116" t="s">
        <v>356</v>
      </c>
      <c r="D116" t="s">
        <v>357</v>
      </c>
      <c r="E116" t="n">
        <v>56.5288694920766</v>
      </c>
      <c r="F116" t="n">
        <v>2.26722031368643</v>
      </c>
      <c r="G116" t="n">
        <v>48.8454054501326</v>
      </c>
      <c r="H116" t="s">
        <v>358</v>
      </c>
      <c r="I116" s="1" t="str">
        <f>HYPERLINK("https://www.google.com/maps/@?api=1&amp;map_action=pano&amp;viewpoint=48.8454054501326,2.26722031368643","Open GSV")</f>
      </c>
      <c r="J116" t="s">
        <v>22</v>
      </c>
      <c r="K116" t="s">
        <v>22</v>
      </c>
      <c r="L116" t="s">
        <v>22</v>
      </c>
    </row>
    <row r="117">
      <c r="A117" t="s">
        <v>18</v>
      </c>
      <c r="B117" t="s">
        <v>5</v>
      </c>
      <c r="C117" t="s">
        <v>359</v>
      </c>
      <c r="D117" t="s">
        <v>360</v>
      </c>
      <c r="E117" t="n">
        <v>251.556871119737</v>
      </c>
      <c r="F117" t="n">
        <v>2.31802644136026</v>
      </c>
      <c r="G117" t="n">
        <v>48.87496460069</v>
      </c>
      <c r="H117" t="s">
        <v>361</v>
      </c>
      <c r="I117" s="1" t="str">
        <f>HYPERLINK("https://www.google.com/maps/@?api=1&amp;map_action=pano&amp;viewpoint=48.87496460069,2.31802644136026","Open GSV")</f>
      </c>
      <c r="J117" t="s">
        <v>22</v>
      </c>
      <c r="K117" t="s">
        <v>22</v>
      </c>
      <c r="L117" t="s">
        <v>22</v>
      </c>
    </row>
    <row r="118">
      <c r="A118" t="s">
        <v>18</v>
      </c>
      <c r="B118" t="s">
        <v>5</v>
      </c>
      <c r="C118" t="s">
        <v>362</v>
      </c>
      <c r="D118" t="s">
        <v>360</v>
      </c>
      <c r="E118" t="n">
        <v>190.905633660911</v>
      </c>
      <c r="F118" t="n">
        <v>2.32894269274356</v>
      </c>
      <c r="G118" t="n">
        <v>48.8735064883978</v>
      </c>
      <c r="H118" t="s">
        <v>363</v>
      </c>
      <c r="I118" s="1" t="str">
        <f>HYPERLINK("https://www.google.com/maps/@?api=1&amp;map_action=pano&amp;viewpoint=48.8735064883978,2.32894269274356","Open GSV")</f>
      </c>
      <c r="J118" t="s">
        <v>22</v>
      </c>
      <c r="K118" t="s">
        <v>22</v>
      </c>
      <c r="L118" t="s">
        <v>22</v>
      </c>
    </row>
    <row r="119">
      <c r="A119" t="s">
        <v>18</v>
      </c>
      <c r="B119" t="s">
        <v>5</v>
      </c>
      <c r="C119" t="s">
        <v>364</v>
      </c>
      <c r="D119" t="s">
        <v>365</v>
      </c>
      <c r="E119" t="n">
        <v>109.618469005066</v>
      </c>
      <c r="F119" t="n">
        <v>2.32646522373017</v>
      </c>
      <c r="G119" t="n">
        <v>48.8828307910471</v>
      </c>
      <c r="H119" t="s">
        <v>366</v>
      </c>
      <c r="I119" s="1" t="str">
        <f>HYPERLINK("https://www.google.com/maps/@?api=1&amp;map_action=pano&amp;viewpoint=48.8828307910471,2.32646522373017","Open GSV")</f>
      </c>
      <c r="J119" t="s">
        <v>22</v>
      </c>
      <c r="K119" t="s">
        <v>22</v>
      </c>
      <c r="L119" t="s">
        <v>22</v>
      </c>
    </row>
    <row r="120">
      <c r="A120" t="s">
        <v>18</v>
      </c>
      <c r="B120" t="s">
        <v>5</v>
      </c>
      <c r="C120" t="s">
        <v>367</v>
      </c>
      <c r="D120" t="s">
        <v>368</v>
      </c>
      <c r="E120" t="n">
        <v>141.514397715224</v>
      </c>
      <c r="F120" t="n">
        <v>2.36601849891466</v>
      </c>
      <c r="G120" t="n">
        <v>48.8182925297947</v>
      </c>
      <c r="H120" t="s">
        <v>369</v>
      </c>
      <c r="I120" s="1" t="str">
        <f>HYPERLINK("https://www.google.com/maps/@?api=1&amp;map_action=pano&amp;viewpoint=48.8182925297947,2.36601849891466","Open GSV")</f>
      </c>
      <c r="J120" t="s">
        <v>22</v>
      </c>
      <c r="K120" t="s">
        <v>22</v>
      </c>
      <c r="L120" t="s">
        <v>22</v>
      </c>
    </row>
    <row r="121">
      <c r="A121" t="s">
        <v>18</v>
      </c>
      <c r="B121" t="s">
        <v>5</v>
      </c>
      <c r="C121" t="s">
        <v>370</v>
      </c>
      <c r="D121" t="s">
        <v>371</v>
      </c>
      <c r="E121" t="n">
        <v>151.746109050195</v>
      </c>
      <c r="F121" t="n">
        <v>2.33473026617865</v>
      </c>
      <c r="G121" t="n">
        <v>48.8219918025139</v>
      </c>
      <c r="H121" t="s">
        <v>372</v>
      </c>
      <c r="I121" s="1" t="str">
        <f>HYPERLINK("https://www.google.com/maps/@?api=1&amp;map_action=pano&amp;viewpoint=48.8219918025139,2.33473026617865","Open GSV")</f>
      </c>
      <c r="J121" t="s">
        <v>22</v>
      </c>
      <c r="K121" t="s">
        <v>22</v>
      </c>
      <c r="L121" t="s">
        <v>22</v>
      </c>
    </row>
    <row r="122">
      <c r="A122" t="s">
        <v>18</v>
      </c>
      <c r="B122" t="s">
        <v>5</v>
      </c>
      <c r="C122" t="s">
        <v>373</v>
      </c>
      <c r="D122"/>
      <c r="E122" t="n">
        <v>64.0325469950196</v>
      </c>
      <c r="F122" t="n">
        <v>2.28182638920317</v>
      </c>
      <c r="G122" t="n">
        <v>48.8793735413517</v>
      </c>
      <c r="H122" t="s">
        <v>374</v>
      </c>
      <c r="I122" s="1" t="str">
        <f>HYPERLINK("https://www.google.com/maps/@?api=1&amp;map_action=pano&amp;viewpoint=48.8793735413517,2.28182638920317","Open GSV")</f>
      </c>
      <c r="J122" t="s">
        <v>22</v>
      </c>
      <c r="K122" t="s">
        <v>22</v>
      </c>
      <c r="L122" t="s">
        <v>22</v>
      </c>
    </row>
    <row r="123">
      <c r="A123" t="s">
        <v>18</v>
      </c>
      <c r="B123" t="s">
        <v>5</v>
      </c>
      <c r="C123" t="s">
        <v>375</v>
      </c>
      <c r="D123" t="s">
        <v>376</v>
      </c>
      <c r="E123" t="n">
        <v>209.803392926268</v>
      </c>
      <c r="F123" t="n">
        <v>2.40273175284854</v>
      </c>
      <c r="G123" t="n">
        <v>48.8647528364165</v>
      </c>
      <c r="H123" t="s">
        <v>377</v>
      </c>
      <c r="I123" s="1" t="str">
        <f>HYPERLINK("https://www.google.com/maps/@?api=1&amp;map_action=pano&amp;viewpoint=48.8647528364165,2.40273175284854","Open GSV")</f>
      </c>
      <c r="J123" t="s">
        <v>22</v>
      </c>
      <c r="K123" t="s">
        <v>22</v>
      </c>
      <c r="L123" t="s">
        <v>22</v>
      </c>
    </row>
    <row r="124">
      <c r="A124" t="s">
        <v>18</v>
      </c>
      <c r="B124" t="s">
        <v>5</v>
      </c>
      <c r="C124" t="s">
        <v>378</v>
      </c>
      <c r="D124" t="s">
        <v>379</v>
      </c>
      <c r="E124" t="n">
        <v>27.8277512610628</v>
      </c>
      <c r="F124" t="n">
        <v>2.37523230037234</v>
      </c>
      <c r="G124" t="n">
        <v>48.8472331484544</v>
      </c>
      <c r="H124" t="s">
        <v>380</v>
      </c>
      <c r="I124" s="1" t="str">
        <f>HYPERLINK("https://www.google.com/maps/@?api=1&amp;map_action=pano&amp;viewpoint=48.8472331484544,2.37523230037234","Open GSV")</f>
      </c>
      <c r="J124" t="s">
        <v>22</v>
      </c>
      <c r="K124" t="s">
        <v>22</v>
      </c>
      <c r="L124" t="s">
        <v>22</v>
      </c>
    </row>
    <row r="125">
      <c r="A125" t="s">
        <v>18</v>
      </c>
      <c r="B125" t="s">
        <v>5</v>
      </c>
      <c r="C125" t="s">
        <v>381</v>
      </c>
      <c r="D125" t="s">
        <v>346</v>
      </c>
      <c r="E125" t="n">
        <v>26.1543404270336</v>
      </c>
      <c r="F125" t="n">
        <v>2.37065530002883</v>
      </c>
      <c r="G125" t="n">
        <v>48.8781454000069</v>
      </c>
      <c r="H125" t="s">
        <v>382</v>
      </c>
      <c r="I125" s="1" t="str">
        <f>HYPERLINK("https://www.google.com/maps/@?api=1&amp;map_action=pano&amp;viewpoint=48.8781454000069,2.37065530002883","Open GSV")</f>
      </c>
      <c r="J125" t="s">
        <v>22</v>
      </c>
      <c r="K125" t="s">
        <v>22</v>
      </c>
      <c r="L125" t="s">
        <v>22</v>
      </c>
    </row>
    <row r="126">
      <c r="A126" t="s">
        <v>18</v>
      </c>
      <c r="B126" t="s">
        <v>5</v>
      </c>
      <c r="C126" t="s">
        <v>383</v>
      </c>
      <c r="D126" t="s">
        <v>384</v>
      </c>
      <c r="E126" t="n">
        <v>95.5148889886389</v>
      </c>
      <c r="F126" t="n">
        <v>2.34140174521813</v>
      </c>
      <c r="G126" t="n">
        <v>48.860719487095</v>
      </c>
      <c r="H126" t="s">
        <v>385</v>
      </c>
      <c r="I126" s="1" t="str">
        <f>HYPERLINK("https://www.google.com/maps/@?api=1&amp;map_action=pano&amp;viewpoint=48.860719487095,2.34140174521813","Open GSV")</f>
      </c>
      <c r="J126" t="s">
        <v>22</v>
      </c>
      <c r="K126" t="s">
        <v>22</v>
      </c>
      <c r="L126" t="s">
        <v>22</v>
      </c>
    </row>
    <row r="127">
      <c r="A127" t="s">
        <v>18</v>
      </c>
      <c r="B127" t="s">
        <v>5</v>
      </c>
      <c r="C127" t="s">
        <v>386</v>
      </c>
      <c r="D127" t="s">
        <v>360</v>
      </c>
      <c r="E127" t="n">
        <v>81.5760911035002</v>
      </c>
      <c r="F127" t="n">
        <v>2.32633633958539</v>
      </c>
      <c r="G127" t="n">
        <v>48.873856671947</v>
      </c>
      <c r="H127" t="s">
        <v>387</v>
      </c>
      <c r="I127" s="1" t="str">
        <f>HYPERLINK("https://www.google.com/maps/@?api=1&amp;map_action=pano&amp;viewpoint=48.873856671947,2.32633633958539","Open GSV")</f>
      </c>
      <c r="J127" t="s">
        <v>22</v>
      </c>
      <c r="K127" t="s">
        <v>22</v>
      </c>
      <c r="L127" t="s">
        <v>22</v>
      </c>
    </row>
    <row r="128">
      <c r="A128" t="s">
        <v>18</v>
      </c>
      <c r="B128" t="s">
        <v>5</v>
      </c>
      <c r="C128" t="s">
        <v>388</v>
      </c>
      <c r="D128" t="s">
        <v>389</v>
      </c>
      <c r="E128" t="n">
        <v>58.9707255066694</v>
      </c>
      <c r="F128" t="n">
        <v>2.25638557730787</v>
      </c>
      <c r="G128" t="n">
        <v>48.8379037973233</v>
      </c>
      <c r="H128" t="s">
        <v>390</v>
      </c>
      <c r="I128" s="1" t="str">
        <f>HYPERLINK("https://www.google.com/maps/@?api=1&amp;map_action=pano&amp;viewpoint=48.8379037973233,2.25638557730787","Open GSV")</f>
      </c>
      <c r="J128" t="s">
        <v>22</v>
      </c>
      <c r="K128" t="s">
        <v>22</v>
      </c>
      <c r="L128" t="s">
        <v>22</v>
      </c>
    </row>
    <row r="129">
      <c r="A129" t="s">
        <v>18</v>
      </c>
      <c r="B129" t="s">
        <v>5</v>
      </c>
      <c r="C129" t="s">
        <v>391</v>
      </c>
      <c r="D129" t="s">
        <v>392</v>
      </c>
      <c r="E129" t="n">
        <v>95.3956703831159</v>
      </c>
      <c r="F129" t="n">
        <v>2.39585113621173</v>
      </c>
      <c r="G129" t="n">
        <v>48.8397898006461</v>
      </c>
      <c r="H129" t="s">
        <v>393</v>
      </c>
      <c r="I129" s="1" t="str">
        <f>HYPERLINK("https://www.google.com/maps/@?api=1&amp;map_action=pano&amp;viewpoint=48.8397898006461,2.39585113621173","Open GSV")</f>
      </c>
      <c r="J129" t="s">
        <v>22</v>
      </c>
      <c r="K129" t="s">
        <v>22</v>
      </c>
      <c r="L129" t="s">
        <v>22</v>
      </c>
    </row>
    <row r="130">
      <c r="A130" t="s">
        <v>18</v>
      </c>
      <c r="B130" t="s">
        <v>5</v>
      </c>
      <c r="C130" t="s">
        <v>394</v>
      </c>
      <c r="D130" t="s">
        <v>395</v>
      </c>
      <c r="E130" t="n">
        <v>63.6928883906461</v>
      </c>
      <c r="F130" t="n">
        <v>2.39710392124042</v>
      </c>
      <c r="G130" t="n">
        <v>48.8395701528866</v>
      </c>
      <c r="H130" t="s">
        <v>396</v>
      </c>
      <c r="I130" s="1" t="str">
        <f>HYPERLINK("https://www.google.com/maps/@?api=1&amp;map_action=pano&amp;viewpoint=48.8395701528866,2.39710392124042","Open GSV")</f>
      </c>
      <c r="J130" t="s">
        <v>22</v>
      </c>
      <c r="K130" t="s">
        <v>22</v>
      </c>
      <c r="L130" t="s">
        <v>22</v>
      </c>
    </row>
    <row r="131">
      <c r="A131" t="s">
        <v>18</v>
      </c>
      <c r="B131" t="s">
        <v>5</v>
      </c>
      <c r="C131" t="s">
        <v>397</v>
      </c>
      <c r="D131" t="s">
        <v>389</v>
      </c>
      <c r="E131" t="n">
        <v>43.870487998087</v>
      </c>
      <c r="F131" t="n">
        <v>2.25723039165073</v>
      </c>
      <c r="G131" t="n">
        <v>48.8375260171283</v>
      </c>
      <c r="H131" t="s">
        <v>398</v>
      </c>
      <c r="I131" s="1" t="str">
        <f>HYPERLINK("https://www.google.com/maps/@?api=1&amp;map_action=pano&amp;viewpoint=48.8375260171283,2.25723039165073","Open GSV")</f>
      </c>
      <c r="J131" t="s">
        <v>22</v>
      </c>
      <c r="K131" t="s">
        <v>22</v>
      </c>
      <c r="L131" t="s">
        <v>22</v>
      </c>
    </row>
    <row r="132">
      <c r="A132" t="s">
        <v>18</v>
      </c>
      <c r="B132" t="s">
        <v>5</v>
      </c>
      <c r="C132" t="s">
        <v>399</v>
      </c>
      <c r="D132" t="s">
        <v>400</v>
      </c>
      <c r="E132" t="n">
        <v>257.893300786689</v>
      </c>
      <c r="F132" t="n">
        <v>2.45124964953486</v>
      </c>
      <c r="G132" t="n">
        <v>48.838573541977</v>
      </c>
      <c r="H132" t="s">
        <v>401</v>
      </c>
      <c r="I132" s="1" t="str">
        <f>HYPERLINK("https://www.google.com/maps/@?api=1&amp;map_action=pano&amp;viewpoint=48.838573541977,2.45124964953486","Open GSV")</f>
      </c>
      <c r="J132" t="s">
        <v>22</v>
      </c>
      <c r="K132" t="s">
        <v>22</v>
      </c>
      <c r="L132" t="s">
        <v>22</v>
      </c>
    </row>
    <row r="133">
      <c r="A133" t="s">
        <v>18</v>
      </c>
      <c r="B133" t="s">
        <v>5</v>
      </c>
      <c r="C133" t="s">
        <v>402</v>
      </c>
      <c r="D133" t="s">
        <v>403</v>
      </c>
      <c r="E133" t="n">
        <v>55.6179137641798</v>
      </c>
      <c r="F133" t="n">
        <v>2.33991010063889</v>
      </c>
      <c r="G133" t="n">
        <v>48.8319670505173</v>
      </c>
      <c r="H133" t="s">
        <v>404</v>
      </c>
      <c r="I133" s="1" t="str">
        <f>HYPERLINK("https://www.google.com/maps/@?api=1&amp;map_action=pano&amp;viewpoint=48.8319670505173,2.33991010063889","Open GSV")</f>
      </c>
      <c r="J133" t="s">
        <v>22</v>
      </c>
      <c r="K133" t="s">
        <v>22</v>
      </c>
      <c r="L133" t="s">
        <v>22</v>
      </c>
    </row>
    <row r="134">
      <c r="A134" t="s">
        <v>18</v>
      </c>
      <c r="B134" t="s">
        <v>5</v>
      </c>
      <c r="C134" t="s">
        <v>405</v>
      </c>
      <c r="D134" t="s">
        <v>406</v>
      </c>
      <c r="E134" t="n">
        <v>35.9631332641877</v>
      </c>
      <c r="F134" t="n">
        <v>2.33924803490481</v>
      </c>
      <c r="G134" t="n">
        <v>48.8201136695878</v>
      </c>
      <c r="H134" t="s">
        <v>407</v>
      </c>
      <c r="I134" s="1" t="str">
        <f>HYPERLINK("https://www.google.com/maps/@?api=1&amp;map_action=pano&amp;viewpoint=48.8201136695878,2.33924803490481","Open GSV")</f>
      </c>
      <c r="J134" t="s">
        <v>22</v>
      </c>
      <c r="K134" t="s">
        <v>22</v>
      </c>
      <c r="L134" t="s">
        <v>22</v>
      </c>
    </row>
    <row r="135">
      <c r="A135" t="s">
        <v>18</v>
      </c>
      <c r="B135" t="s">
        <v>5</v>
      </c>
      <c r="C135" t="s">
        <v>408</v>
      </c>
      <c r="D135" t="s">
        <v>389</v>
      </c>
      <c r="E135" t="n">
        <v>15.6418452802869</v>
      </c>
      <c r="F135" t="n">
        <v>2.25720244833965</v>
      </c>
      <c r="G135" t="n">
        <v>48.8383253566501</v>
      </c>
      <c r="H135" t="s">
        <v>409</v>
      </c>
      <c r="I135" s="1" t="str">
        <f>HYPERLINK("https://www.google.com/maps/@?api=1&amp;map_action=pano&amp;viewpoint=48.8383253566501,2.25720244833965","Open GSV")</f>
      </c>
      <c r="J135" t="s">
        <v>22</v>
      </c>
      <c r="K135" t="s">
        <v>22</v>
      </c>
      <c r="L135" t="s">
        <v>22</v>
      </c>
    </row>
    <row r="136">
      <c r="A136" t="s">
        <v>18</v>
      </c>
      <c r="B136" t="s">
        <v>5</v>
      </c>
      <c r="C136" t="s">
        <v>410</v>
      </c>
      <c r="D136" t="s">
        <v>403</v>
      </c>
      <c r="E136" t="n">
        <v>41.6307410953026</v>
      </c>
      <c r="F136" t="n">
        <v>2.3335993069749</v>
      </c>
      <c r="G136" t="n">
        <v>48.8340470742389</v>
      </c>
      <c r="H136" t="s">
        <v>411</v>
      </c>
      <c r="I136" s="1" t="str">
        <f>HYPERLINK("https://www.google.com/maps/@?api=1&amp;map_action=pano&amp;viewpoint=48.8340470742389,2.3335993069749","Open GSV")</f>
      </c>
      <c r="J136" t="s">
        <v>22</v>
      </c>
      <c r="K136" t="s">
        <v>22</v>
      </c>
      <c r="L136" t="s">
        <v>22</v>
      </c>
    </row>
    <row r="137">
      <c r="A137" t="s">
        <v>18</v>
      </c>
      <c r="B137" t="s">
        <v>5</v>
      </c>
      <c r="C137" t="s">
        <v>412</v>
      </c>
      <c r="D137" t="s">
        <v>360</v>
      </c>
      <c r="E137" t="n">
        <v>21.4059426747247</v>
      </c>
      <c r="F137" t="n">
        <v>2.32752400005258</v>
      </c>
      <c r="G137" t="n">
        <v>48.8736951500856</v>
      </c>
      <c r="H137" t="s">
        <v>413</v>
      </c>
      <c r="I137" s="1" t="str">
        <f>HYPERLINK("https://www.google.com/maps/@?api=1&amp;map_action=pano&amp;viewpoint=48.8736951500856,2.32752400005258","Open GSV")</f>
      </c>
      <c r="J137" t="s">
        <v>22</v>
      </c>
      <c r="K137" t="s">
        <v>22</v>
      </c>
      <c r="L137" t="s">
        <v>22</v>
      </c>
    </row>
    <row r="138">
      <c r="A138" t="s">
        <v>18</v>
      </c>
      <c r="B138" t="s">
        <v>5</v>
      </c>
      <c r="C138" t="s">
        <v>414</v>
      </c>
      <c r="D138" t="s">
        <v>415</v>
      </c>
      <c r="E138" t="n">
        <v>122.6396217062</v>
      </c>
      <c r="F138" t="n">
        <v>2.33346377551776</v>
      </c>
      <c r="G138" t="n">
        <v>48.8195745398061</v>
      </c>
      <c r="H138" t="s">
        <v>416</v>
      </c>
      <c r="I138" s="1" t="str">
        <f>HYPERLINK("https://www.google.com/maps/@?api=1&amp;map_action=pano&amp;viewpoint=48.8195745398061,2.33346377551776","Open GSV")</f>
      </c>
      <c r="J138" t="s">
        <v>22</v>
      </c>
      <c r="K138" t="s">
        <v>22</v>
      </c>
      <c r="L138" t="s">
        <v>22</v>
      </c>
    </row>
    <row r="139">
      <c r="A139" t="s">
        <v>18</v>
      </c>
      <c r="B139" t="s">
        <v>5</v>
      </c>
      <c r="C139" t="s">
        <v>417</v>
      </c>
      <c r="D139" t="s">
        <v>418</v>
      </c>
      <c r="E139" t="n">
        <v>105.331829413309</v>
      </c>
      <c r="F139" t="n">
        <v>2.28817263705791</v>
      </c>
      <c r="G139" t="n">
        <v>48.8540401246307</v>
      </c>
      <c r="H139" t="s">
        <v>419</v>
      </c>
      <c r="I139" s="1" t="str">
        <f>HYPERLINK("https://www.google.com/maps/@?api=1&amp;map_action=pano&amp;viewpoint=48.8540401246307,2.28817263705791","Open GSV")</f>
      </c>
      <c r="J139" t="s">
        <v>22</v>
      </c>
      <c r="K139" t="s">
        <v>22</v>
      </c>
      <c r="L139" t="s">
        <v>22</v>
      </c>
    </row>
    <row r="140">
      <c r="A140" t="s">
        <v>18</v>
      </c>
      <c r="B140" t="s">
        <v>5</v>
      </c>
      <c r="C140" t="s">
        <v>420</v>
      </c>
      <c r="D140" t="s">
        <v>421</v>
      </c>
      <c r="E140" t="n">
        <v>60.9515642993483</v>
      </c>
      <c r="F140" t="n">
        <v>2.27893223221017</v>
      </c>
      <c r="G140" t="n">
        <v>48.8753755251672</v>
      </c>
      <c r="H140" t="s">
        <v>422</v>
      </c>
      <c r="I140" s="1" t="str">
        <f>HYPERLINK("https://www.google.com/maps/@?api=1&amp;map_action=pano&amp;viewpoint=48.8753755251672,2.27893223221017","Open GSV")</f>
      </c>
      <c r="J140" t="s">
        <v>22</v>
      </c>
      <c r="K140" t="s">
        <v>22</v>
      </c>
      <c r="L140" t="s">
        <v>22</v>
      </c>
    </row>
    <row r="141">
      <c r="A141" t="s">
        <v>18</v>
      </c>
      <c r="B141" t="s">
        <v>5</v>
      </c>
      <c r="C141" t="s">
        <v>423</v>
      </c>
      <c r="D141" t="s">
        <v>343</v>
      </c>
      <c r="E141" t="n">
        <v>70.622612924549</v>
      </c>
      <c r="F141" t="n">
        <v>2.28478585199221</v>
      </c>
      <c r="G141" t="n">
        <v>48.8808738017416</v>
      </c>
      <c r="H141" t="s">
        <v>424</v>
      </c>
      <c r="I141" s="1" t="str">
        <f>HYPERLINK("https://www.google.com/maps/@?api=1&amp;map_action=pano&amp;viewpoint=48.8808738017416,2.28478585199221","Open GSV")</f>
      </c>
      <c r="J141" t="s">
        <v>22</v>
      </c>
      <c r="K141" t="s">
        <v>22</v>
      </c>
      <c r="L141" t="s">
        <v>22</v>
      </c>
    </row>
    <row r="142">
      <c r="A142" t="s">
        <v>18</v>
      </c>
      <c r="B142" t="s">
        <v>5</v>
      </c>
      <c r="C142" t="s">
        <v>425</v>
      </c>
      <c r="D142" t="s">
        <v>426</v>
      </c>
      <c r="E142" t="n">
        <v>22.0358258983087</v>
      </c>
      <c r="F142" t="n">
        <v>2.28649045008796</v>
      </c>
      <c r="G142" t="n">
        <v>48.8804281500847</v>
      </c>
      <c r="H142" t="s">
        <v>427</v>
      </c>
      <c r="I142" s="1" t="str">
        <f>HYPERLINK("https://www.google.com/maps/@?api=1&amp;map_action=pano&amp;viewpoint=48.8804281500847,2.28649045008796","Open GSV")</f>
      </c>
      <c r="J142" t="s">
        <v>22</v>
      </c>
      <c r="K142" t="s">
        <v>22</v>
      </c>
      <c r="L142" t="s">
        <v>22</v>
      </c>
    </row>
    <row r="143">
      <c r="A143" t="s">
        <v>18</v>
      </c>
      <c r="B143" t="s">
        <v>5</v>
      </c>
      <c r="C143" t="s">
        <v>428</v>
      </c>
      <c r="D143" t="s">
        <v>429</v>
      </c>
      <c r="E143" t="n">
        <v>66.3684049775377</v>
      </c>
      <c r="F143" t="n">
        <v>2.343457209162</v>
      </c>
      <c r="G143" t="n">
        <v>48.8470851093438</v>
      </c>
      <c r="H143" t="s">
        <v>430</v>
      </c>
      <c r="I143" s="1" t="str">
        <f>HYPERLINK("https://www.google.com/maps/@?api=1&amp;map_action=pano&amp;viewpoint=48.8470851093438,2.343457209162","Open GSV")</f>
      </c>
      <c r="J143" t="s">
        <v>22</v>
      </c>
      <c r="K143" t="s">
        <v>22</v>
      </c>
      <c r="L143" t="s">
        <v>22</v>
      </c>
    </row>
    <row r="144">
      <c r="A144" t="s">
        <v>18</v>
      </c>
      <c r="B144" t="s">
        <v>5</v>
      </c>
      <c r="C144" t="s">
        <v>431</v>
      </c>
      <c r="D144" t="s">
        <v>432</v>
      </c>
      <c r="E144" t="n">
        <v>38.2154687761538</v>
      </c>
      <c r="F144" t="n">
        <v>2.27542284357673</v>
      </c>
      <c r="G144" t="n">
        <v>48.8585012774804</v>
      </c>
      <c r="H144" t="s">
        <v>433</v>
      </c>
      <c r="I144" s="1" t="str">
        <f>HYPERLINK("https://www.google.com/maps/@?api=1&amp;map_action=pano&amp;viewpoint=48.8585012774804,2.27542284357673","Open GSV")</f>
      </c>
      <c r="J144" t="s">
        <v>22</v>
      </c>
      <c r="K144" t="s">
        <v>22</v>
      </c>
      <c r="L144" t="s">
        <v>22</v>
      </c>
    </row>
    <row r="145">
      <c r="A145" t="s">
        <v>18</v>
      </c>
      <c r="B145" t="s">
        <v>5</v>
      </c>
      <c r="C145" t="s">
        <v>434</v>
      </c>
      <c r="D145" t="s">
        <v>403</v>
      </c>
      <c r="E145" t="n">
        <v>109.601885308131</v>
      </c>
      <c r="F145" t="n">
        <v>2.3342978744456</v>
      </c>
      <c r="G145" t="n">
        <v>48.8335148870753</v>
      </c>
      <c r="H145" t="s">
        <v>435</v>
      </c>
      <c r="I145" s="1" t="str">
        <f>HYPERLINK("https://www.google.com/maps/@?api=1&amp;map_action=pano&amp;viewpoint=48.8335148870753,2.3342978744456","Open GSV")</f>
      </c>
      <c r="J145" t="s">
        <v>22</v>
      </c>
      <c r="K145" t="s">
        <v>22</v>
      </c>
      <c r="L145" t="s">
        <v>22</v>
      </c>
    </row>
    <row r="146">
      <c r="A146" t="s">
        <v>18</v>
      </c>
      <c r="B146" t="s">
        <v>5</v>
      </c>
      <c r="C146" t="s">
        <v>436</v>
      </c>
      <c r="D146" t="s">
        <v>105</v>
      </c>
      <c r="E146" t="n">
        <v>22.0856684667533</v>
      </c>
      <c r="F146" t="n">
        <v>2.34772477767902</v>
      </c>
      <c r="G146" t="n">
        <v>48.8576313576443</v>
      </c>
      <c r="H146" t="s">
        <v>437</v>
      </c>
      <c r="I146" s="1" t="str">
        <f>HYPERLINK("https://www.google.com/maps/@?api=1&amp;map_action=pano&amp;viewpoint=48.8576313576443,2.34772477767902","Open GSV")</f>
      </c>
      <c r="J146" t="s">
        <v>22</v>
      </c>
      <c r="K146" t="s">
        <v>22</v>
      </c>
      <c r="L146" t="s">
        <v>22</v>
      </c>
    </row>
    <row r="147">
      <c r="A147" t="s">
        <v>18</v>
      </c>
      <c r="B147" t="s">
        <v>5</v>
      </c>
      <c r="C147" t="s">
        <v>438</v>
      </c>
      <c r="D147" t="s">
        <v>439</v>
      </c>
      <c r="E147" t="n">
        <v>21.4301397703205</v>
      </c>
      <c r="F147" t="n">
        <v>2.31670241653461</v>
      </c>
      <c r="G147" t="n">
        <v>48.8467505192936</v>
      </c>
      <c r="H147" t="s">
        <v>440</v>
      </c>
      <c r="I147" s="1" t="str">
        <f>HYPERLINK("https://www.google.com/maps/@?api=1&amp;map_action=pano&amp;viewpoint=48.8467505192936,2.31670241653461","Open GSV")</f>
      </c>
      <c r="J147" t="s">
        <v>22</v>
      </c>
      <c r="K147" t="s">
        <v>22</v>
      </c>
      <c r="L147" t="s">
        <v>22</v>
      </c>
    </row>
    <row r="148">
      <c r="A148" t="s">
        <v>18</v>
      </c>
      <c r="B148" t="s">
        <v>5</v>
      </c>
      <c r="C148" t="s">
        <v>441</v>
      </c>
      <c r="D148" t="s">
        <v>442</v>
      </c>
      <c r="E148" t="n">
        <v>67.3294731072977</v>
      </c>
      <c r="F148" t="n">
        <v>2.30825972490247</v>
      </c>
      <c r="G148" t="n">
        <v>48.8346743496493</v>
      </c>
      <c r="H148" t="s">
        <v>443</v>
      </c>
      <c r="I148" s="1" t="str">
        <f>HYPERLINK("https://www.google.com/maps/@?api=1&amp;map_action=pano&amp;viewpoint=48.8346743496493,2.30825972490247","Open GSV")</f>
      </c>
      <c r="J148" t="s">
        <v>22</v>
      </c>
      <c r="K148" t="s">
        <v>22</v>
      </c>
      <c r="L148" t="s">
        <v>22</v>
      </c>
    </row>
    <row r="149">
      <c r="A149" t="s">
        <v>18</v>
      </c>
      <c r="B149" t="s">
        <v>5</v>
      </c>
      <c r="C149" t="s">
        <v>444</v>
      </c>
      <c r="D149" t="s">
        <v>368</v>
      </c>
      <c r="E149" t="n">
        <v>55.5489457294295</v>
      </c>
      <c r="F149" t="n">
        <v>2.36662243224416</v>
      </c>
      <c r="G149" t="n">
        <v>48.817502536222</v>
      </c>
      <c r="H149" t="s">
        <v>445</v>
      </c>
      <c r="I149" s="1" t="str">
        <f>HYPERLINK("https://www.google.com/maps/@?api=1&amp;map_action=pano&amp;viewpoint=48.817502536222,2.36662243224416","Open GSV")</f>
      </c>
      <c r="J149" t="s">
        <v>22</v>
      </c>
      <c r="K149" t="s">
        <v>22</v>
      </c>
      <c r="L149" t="s">
        <v>22</v>
      </c>
    </row>
    <row r="150">
      <c r="A150" t="s">
        <v>18</v>
      </c>
      <c r="B150" t="s">
        <v>5</v>
      </c>
      <c r="C150" t="s">
        <v>446</v>
      </c>
      <c r="D150" t="s">
        <v>447</v>
      </c>
      <c r="E150" t="n">
        <v>186.798407563617</v>
      </c>
      <c r="F150" t="n">
        <v>2.32698512324966</v>
      </c>
      <c r="G150" t="n">
        <v>48.8788147880598</v>
      </c>
      <c r="H150" t="s">
        <v>448</v>
      </c>
      <c r="I150" s="1" t="str">
        <f>HYPERLINK("https://www.google.com/maps/@?api=1&amp;map_action=pano&amp;viewpoint=48.8788147880598,2.32698512324966","Open GSV")</f>
      </c>
      <c r="J150" t="s">
        <v>22</v>
      </c>
      <c r="K150" t="s">
        <v>22</v>
      </c>
      <c r="L150" t="s">
        <v>22</v>
      </c>
    </row>
    <row r="151">
      <c r="A151" t="s">
        <v>18</v>
      </c>
      <c r="B151" t="s">
        <v>5</v>
      </c>
      <c r="C151" t="s">
        <v>449</v>
      </c>
      <c r="D151" t="s">
        <v>450</v>
      </c>
      <c r="E151" t="n">
        <v>48.972950087425</v>
      </c>
      <c r="F151" t="n">
        <v>2.32770346824543</v>
      </c>
      <c r="G151" t="n">
        <v>48.8829170235962</v>
      </c>
      <c r="H151" t="s">
        <v>451</v>
      </c>
      <c r="I151" s="1" t="str">
        <f>HYPERLINK("https://www.google.com/maps/@?api=1&amp;map_action=pano&amp;viewpoint=48.8829170235962,2.32770346824543","Open GSV")</f>
      </c>
      <c r="J151" t="s">
        <v>22</v>
      </c>
      <c r="K151" t="s">
        <v>22</v>
      </c>
      <c r="L151" t="s">
        <v>22</v>
      </c>
    </row>
    <row r="152">
      <c r="A152" t="s">
        <v>18</v>
      </c>
      <c r="B152" t="s">
        <v>6</v>
      </c>
      <c r="C152" t="s">
        <v>452</v>
      </c>
      <c r="D152"/>
      <c r="E152" t="n">
        <v>41.0073276545205</v>
      </c>
      <c r="F152" t="n">
        <v>2.36965995167994</v>
      </c>
      <c r="G152" t="n">
        <v>48.8718686976468</v>
      </c>
      <c r="H152" t="s">
        <v>453</v>
      </c>
      <c r="I152" s="1" t="str">
        <f>HYPERLINK("https://www.google.com/maps/@?api=1&amp;map_action=pano&amp;viewpoint=48.8718686976468,2.36965995167994","Open GSV")</f>
      </c>
      <c r="J152" t="s">
        <v>22</v>
      </c>
      <c r="K152" t="s">
        <v>22</v>
      </c>
      <c r="L152" t="s">
        <v>22</v>
      </c>
    </row>
    <row r="153">
      <c r="A153" t="s">
        <v>18</v>
      </c>
      <c r="B153" t="s">
        <v>6</v>
      </c>
      <c r="C153" t="s">
        <v>454</v>
      </c>
      <c r="D153"/>
      <c r="E153" t="n">
        <v>156.264778353965</v>
      </c>
      <c r="F153" t="n">
        <v>2.31734203335731</v>
      </c>
      <c r="G153" t="n">
        <v>48.8751228586976</v>
      </c>
      <c r="H153" t="s">
        <v>455</v>
      </c>
      <c r="I153" s="1" t="str">
        <f>HYPERLINK("https://www.google.com/maps/@?api=1&amp;map_action=pano&amp;viewpoint=48.8751228586976,2.31734203335731","Open GSV")</f>
      </c>
      <c r="J153" t="s">
        <v>22</v>
      </c>
      <c r="K153" t="s">
        <v>22</v>
      </c>
      <c r="L153" t="s">
        <v>22</v>
      </c>
    </row>
    <row r="154">
      <c r="A154" t="s">
        <v>18</v>
      </c>
      <c r="B154" t="s">
        <v>6</v>
      </c>
      <c r="C154" t="s">
        <v>456</v>
      </c>
      <c r="D154"/>
      <c r="E154" t="n">
        <v>49.0262660263781</v>
      </c>
      <c r="F154" t="n">
        <v>2.30432519211843</v>
      </c>
      <c r="G154" t="n">
        <v>48.86440593932</v>
      </c>
      <c r="H154" t="s">
        <v>457</v>
      </c>
      <c r="I154" s="1" t="str">
        <f>HYPERLINK("https://www.google.com/maps/@?api=1&amp;map_action=pano&amp;viewpoint=48.86440593932,2.30432519211843","Open GSV")</f>
      </c>
      <c r="J154" t="s">
        <v>22</v>
      </c>
      <c r="K154" t="s">
        <v>22</v>
      </c>
      <c r="L154" t="s">
        <v>22</v>
      </c>
    </row>
    <row r="155">
      <c r="A155" t="s">
        <v>18</v>
      </c>
      <c r="B155" t="s">
        <v>6</v>
      </c>
      <c r="C155" t="s">
        <v>458</v>
      </c>
      <c r="D155"/>
      <c r="E155" t="n">
        <v>269.888108335908</v>
      </c>
      <c r="F155" t="n">
        <v>2.38308204772228</v>
      </c>
      <c r="G155" t="n">
        <v>48.8636078551793</v>
      </c>
      <c r="H155" t="s">
        <v>459</v>
      </c>
      <c r="I155" s="1" t="str">
        <f>HYPERLINK("https://www.google.com/maps/@?api=1&amp;map_action=pano&amp;viewpoint=48.8636078551793,2.38308204772228","Open GSV")</f>
      </c>
      <c r="J155" t="s">
        <v>22</v>
      </c>
      <c r="K155" t="s">
        <v>22</v>
      </c>
      <c r="L155" t="s">
        <v>22</v>
      </c>
    </row>
    <row r="156">
      <c r="A156" t="s">
        <v>18</v>
      </c>
      <c r="B156" t="s">
        <v>6</v>
      </c>
      <c r="C156" t="s">
        <v>460</v>
      </c>
      <c r="D156"/>
      <c r="E156" t="n">
        <v>77.5940617926541</v>
      </c>
      <c r="F156" t="n">
        <v>2.40874245388878</v>
      </c>
      <c r="G156" t="n">
        <v>48.8780594701056</v>
      </c>
      <c r="H156" t="s">
        <v>461</v>
      </c>
      <c r="I156" s="1" t="str">
        <f>HYPERLINK("https://www.google.com/maps/@?api=1&amp;map_action=pano&amp;viewpoint=48.8780594701056,2.40874245388878","Open GSV")</f>
      </c>
      <c r="J156" t="s">
        <v>22</v>
      </c>
      <c r="K156" t="s">
        <v>22</v>
      </c>
      <c r="L156" t="s">
        <v>22</v>
      </c>
    </row>
    <row r="157">
      <c r="A157" t="s">
        <v>18</v>
      </c>
      <c r="B157" t="s">
        <v>6</v>
      </c>
      <c r="C157" t="s">
        <v>462</v>
      </c>
      <c r="D157"/>
      <c r="E157" t="n">
        <v>168.390325924326</v>
      </c>
      <c r="F157" t="n">
        <v>2.39029131602473</v>
      </c>
      <c r="G157" t="n">
        <v>48.838008368861</v>
      </c>
      <c r="H157" t="s">
        <v>463</v>
      </c>
      <c r="I157" s="1" t="str">
        <f>HYPERLINK("https://www.google.com/maps/@?api=1&amp;map_action=pano&amp;viewpoint=48.838008368861,2.39029131602473","Open GSV")</f>
      </c>
      <c r="J157" t="s">
        <v>22</v>
      </c>
      <c r="K157" t="s">
        <v>22</v>
      </c>
      <c r="L157" t="s">
        <v>22</v>
      </c>
    </row>
    <row r="158">
      <c r="A158" t="s">
        <v>18</v>
      </c>
      <c r="B158" t="s">
        <v>6</v>
      </c>
      <c r="C158" t="s">
        <v>464</v>
      </c>
      <c r="D158"/>
      <c r="E158" t="n">
        <v>40.9269950787882</v>
      </c>
      <c r="F158" t="n">
        <v>2.28911854817876</v>
      </c>
      <c r="G158" t="n">
        <v>48.8842128011081</v>
      </c>
      <c r="H158" t="s">
        <v>465</v>
      </c>
      <c r="I158" s="1" t="str">
        <f>HYPERLINK("https://www.google.com/maps/@?api=1&amp;map_action=pano&amp;viewpoint=48.8842128011081,2.28911854817876","Open GSV")</f>
      </c>
      <c r="J158" t="s">
        <v>22</v>
      </c>
      <c r="K158" t="s">
        <v>22</v>
      </c>
      <c r="L158" t="s">
        <v>22</v>
      </c>
    </row>
    <row r="159">
      <c r="A159" t="s">
        <v>18</v>
      </c>
      <c r="B159" t="s">
        <v>6</v>
      </c>
      <c r="C159" t="s">
        <v>466</v>
      </c>
      <c r="D159"/>
      <c r="E159" t="n">
        <v>97.2570078112189</v>
      </c>
      <c r="F159" t="n">
        <v>2.2880183521832</v>
      </c>
      <c r="G159" t="n">
        <v>48.8758872515038</v>
      </c>
      <c r="H159" t="s">
        <v>467</v>
      </c>
      <c r="I159" s="1" t="str">
        <f>HYPERLINK("https://www.google.com/maps/@?api=1&amp;map_action=pano&amp;viewpoint=48.8758872515038,2.2880183521832","Open GSV")</f>
      </c>
      <c r="J159" t="s">
        <v>22</v>
      </c>
      <c r="K159" t="s">
        <v>22</v>
      </c>
      <c r="L159" t="s">
        <v>22</v>
      </c>
    </row>
    <row r="160">
      <c r="A160" t="s">
        <v>18</v>
      </c>
      <c r="B160" t="s">
        <v>6</v>
      </c>
      <c r="C160" t="s">
        <v>468</v>
      </c>
      <c r="D160"/>
      <c r="E160" t="n">
        <v>54.7401536731217</v>
      </c>
      <c r="F160" t="n">
        <v>2.28895270922773</v>
      </c>
      <c r="G160" t="n">
        <v>48.8755918490042</v>
      </c>
      <c r="H160" t="s">
        <v>469</v>
      </c>
      <c r="I160" s="1" t="str">
        <f>HYPERLINK("https://www.google.com/maps/@?api=1&amp;map_action=pano&amp;viewpoint=48.8755918490042,2.28895270922773","Open GSV")</f>
      </c>
      <c r="J160" t="s">
        <v>22</v>
      </c>
      <c r="K160" t="s">
        <v>22</v>
      </c>
      <c r="L160" t="s">
        <v>22</v>
      </c>
    </row>
    <row r="161">
      <c r="A161" t="s">
        <v>18</v>
      </c>
      <c r="B161" t="s">
        <v>6</v>
      </c>
      <c r="C161" t="s">
        <v>470</v>
      </c>
      <c r="D161"/>
      <c r="E161" t="n">
        <v>80.8923013358073</v>
      </c>
      <c r="F161" t="n">
        <v>2.40748304608553</v>
      </c>
      <c r="G161" t="n">
        <v>48.8775456431414</v>
      </c>
      <c r="H161" t="s">
        <v>471</v>
      </c>
      <c r="I161" s="1" t="str">
        <f>HYPERLINK("https://www.google.com/maps/@?api=1&amp;map_action=pano&amp;viewpoint=48.8775456431414,2.40748304608553","Open GSV")</f>
      </c>
      <c r="J161" t="s">
        <v>22</v>
      </c>
      <c r="K161" t="s">
        <v>22</v>
      </c>
      <c r="L161" t="s">
        <v>22</v>
      </c>
    </row>
    <row r="162">
      <c r="A162" t="s">
        <v>18</v>
      </c>
      <c r="B162" t="s">
        <v>6</v>
      </c>
      <c r="C162" t="s">
        <v>472</v>
      </c>
      <c r="D162"/>
      <c r="E162" t="n">
        <v>221.540468376618</v>
      </c>
      <c r="F162" t="n">
        <v>2.39386758208739</v>
      </c>
      <c r="G162" t="n">
        <v>48.8344055852183</v>
      </c>
      <c r="H162" t="s">
        <v>473</v>
      </c>
      <c r="I162" s="1" t="str">
        <f>HYPERLINK("https://www.google.com/maps/@?api=1&amp;map_action=pano&amp;viewpoint=48.8344055852183,2.39386758208739","Open GSV")</f>
      </c>
      <c r="J162" t="s">
        <v>22</v>
      </c>
      <c r="K162" t="s">
        <v>22</v>
      </c>
      <c r="L162" t="s">
        <v>22</v>
      </c>
    </row>
    <row r="163">
      <c r="A163" t="s">
        <v>18</v>
      </c>
      <c r="B163" t="s">
        <v>6</v>
      </c>
      <c r="C163" t="s">
        <v>474</v>
      </c>
      <c r="D163"/>
      <c r="E163" t="n">
        <v>118.548294206703</v>
      </c>
      <c r="F163" t="n">
        <v>2.33843458866288</v>
      </c>
      <c r="G163" t="n">
        <v>48.8722793633163</v>
      </c>
      <c r="H163" t="s">
        <v>475</v>
      </c>
      <c r="I163" s="1" t="str">
        <f>HYPERLINK("https://www.google.com/maps/@?api=1&amp;map_action=pano&amp;viewpoint=48.8722793633163,2.33843458866288","Open GSV")</f>
      </c>
      <c r="J163" t="s">
        <v>22</v>
      </c>
      <c r="K163" t="s">
        <v>22</v>
      </c>
      <c r="L163" t="s">
        <v>22</v>
      </c>
    </row>
    <row r="164">
      <c r="A164" t="s">
        <v>18</v>
      </c>
      <c r="B164" t="s">
        <v>6</v>
      </c>
      <c r="C164" t="s">
        <v>476</v>
      </c>
      <c r="D164"/>
      <c r="E164" t="n">
        <v>50.3249718664384</v>
      </c>
      <c r="F164" t="n">
        <v>2.34391918071646</v>
      </c>
      <c r="G164" t="n">
        <v>48.853116402922</v>
      </c>
      <c r="H164" t="s">
        <v>477</v>
      </c>
      <c r="I164" s="1" t="str">
        <f>HYPERLINK("https://www.google.com/maps/@?api=1&amp;map_action=pano&amp;viewpoint=48.853116402922,2.34391918071646","Open GSV")</f>
      </c>
      <c r="J164" t="s">
        <v>22</v>
      </c>
      <c r="K164" t="s">
        <v>22</v>
      </c>
      <c r="L164" t="s">
        <v>22</v>
      </c>
    </row>
    <row r="165">
      <c r="A165" t="s">
        <v>18</v>
      </c>
      <c r="B165" t="s">
        <v>6</v>
      </c>
      <c r="C165" t="s">
        <v>478</v>
      </c>
      <c r="D165"/>
      <c r="E165" t="n">
        <v>100.844862454052</v>
      </c>
      <c r="F165" t="n">
        <v>2.35893952111631</v>
      </c>
      <c r="G165" t="n">
        <v>48.8359564779927</v>
      </c>
      <c r="H165" t="s">
        <v>479</v>
      </c>
      <c r="I165" s="1" t="str">
        <f>HYPERLINK("https://www.google.com/maps/@?api=1&amp;map_action=pano&amp;viewpoint=48.8359564779927,2.35893952111631","Open GSV")</f>
      </c>
      <c r="J165" t="s">
        <v>22</v>
      </c>
      <c r="K165" t="s">
        <v>22</v>
      </c>
      <c r="L165" t="s">
        <v>22</v>
      </c>
    </row>
    <row r="166">
      <c r="A166" t="s">
        <v>18</v>
      </c>
      <c r="B166" t="s">
        <v>6</v>
      </c>
      <c r="C166" t="s">
        <v>480</v>
      </c>
      <c r="D166"/>
      <c r="E166" t="n">
        <v>59.4723249397842</v>
      </c>
      <c r="F166" t="n">
        <v>2.31980042123015</v>
      </c>
      <c r="G166" t="n">
        <v>48.8754299755305</v>
      </c>
      <c r="H166" t="s">
        <v>481</v>
      </c>
      <c r="I166" s="1" t="str">
        <f>HYPERLINK("https://www.google.com/maps/@?api=1&amp;map_action=pano&amp;viewpoint=48.8754299755305,2.31980042123015","Open GSV")</f>
      </c>
      <c r="J166" t="s">
        <v>22</v>
      </c>
      <c r="K166" t="s">
        <v>22</v>
      </c>
      <c r="L166" t="s">
        <v>22</v>
      </c>
    </row>
    <row r="167">
      <c r="A167" t="s">
        <v>18</v>
      </c>
      <c r="B167" t="s">
        <v>6</v>
      </c>
      <c r="C167" t="s">
        <v>482</v>
      </c>
      <c r="D167"/>
      <c r="E167" t="n">
        <v>110.143005623639</v>
      </c>
      <c r="F167" t="n">
        <v>2.39526818720474</v>
      </c>
      <c r="G167" t="n">
        <v>48.8864066058755</v>
      </c>
      <c r="H167" t="s">
        <v>483</v>
      </c>
      <c r="I167" s="1" t="str">
        <f>HYPERLINK("https://www.google.com/maps/@?api=1&amp;map_action=pano&amp;viewpoint=48.8864066058755,2.39526818720474","Open GSV")</f>
      </c>
      <c r="J167" t="s">
        <v>22</v>
      </c>
      <c r="K167" t="s">
        <v>22</v>
      </c>
      <c r="L167" t="s">
        <v>22</v>
      </c>
    </row>
    <row r="168">
      <c r="A168" t="s">
        <v>18</v>
      </c>
      <c r="B168" t="s">
        <v>6</v>
      </c>
      <c r="C168" t="s">
        <v>484</v>
      </c>
      <c r="D168"/>
      <c r="E168" t="n">
        <v>25.5395154809773</v>
      </c>
      <c r="F168" t="n">
        <v>2.37688032798986</v>
      </c>
      <c r="G168" t="n">
        <v>48.8835115338931</v>
      </c>
      <c r="H168" t="s">
        <v>485</v>
      </c>
      <c r="I168" s="1" t="str">
        <f>HYPERLINK("https://www.google.com/maps/@?api=1&amp;map_action=pano&amp;viewpoint=48.8835115338931,2.37688032798986","Open GSV")</f>
      </c>
      <c r="J168" t="s">
        <v>22</v>
      </c>
      <c r="K168" t="s">
        <v>22</v>
      </c>
      <c r="L168" t="s">
        <v>22</v>
      </c>
    </row>
    <row r="169">
      <c r="A169" t="s">
        <v>18</v>
      </c>
      <c r="B169" t="s">
        <v>6</v>
      </c>
      <c r="C169" t="s">
        <v>486</v>
      </c>
      <c r="D169"/>
      <c r="E169" t="n">
        <v>81.7300512641763</v>
      </c>
      <c r="F169" t="n">
        <v>2.35745657145886</v>
      </c>
      <c r="G169" t="n">
        <v>48.8293965515541</v>
      </c>
      <c r="H169" t="s">
        <v>487</v>
      </c>
      <c r="I169" s="1" t="str">
        <f>HYPERLINK("https://www.google.com/maps/@?api=1&amp;map_action=pano&amp;viewpoint=48.8293965515541,2.35745657145886","Open GSV")</f>
      </c>
      <c r="J169" t="s">
        <v>22</v>
      </c>
      <c r="K169" t="s">
        <v>22</v>
      </c>
      <c r="L169" t="s">
        <v>22</v>
      </c>
    </row>
    <row r="170">
      <c r="A170" t="s">
        <v>18</v>
      </c>
      <c r="B170" t="s">
        <v>6</v>
      </c>
      <c r="C170" t="s">
        <v>488</v>
      </c>
      <c r="D170"/>
      <c r="E170" t="n">
        <v>38.9339339257463</v>
      </c>
      <c r="F170" t="n">
        <v>2.29500694955374</v>
      </c>
      <c r="G170" t="n">
        <v>48.8878745001539</v>
      </c>
      <c r="H170" t="s">
        <v>489</v>
      </c>
      <c r="I170" s="1" t="str">
        <f>HYPERLINK("https://www.google.com/maps/@?api=1&amp;map_action=pano&amp;viewpoint=48.8878745001539,2.29500694955374","Open GSV")</f>
      </c>
      <c r="J170" t="s">
        <v>22</v>
      </c>
      <c r="K170" t="s">
        <v>22</v>
      </c>
      <c r="L170" t="s">
        <v>22</v>
      </c>
    </row>
    <row r="171">
      <c r="A171" t="s">
        <v>18</v>
      </c>
      <c r="B171" t="s">
        <v>6</v>
      </c>
      <c r="C171" t="s">
        <v>490</v>
      </c>
      <c r="D171"/>
      <c r="E171" t="n">
        <v>33.4972682485279</v>
      </c>
      <c r="F171" t="n">
        <v>2.4157792193515</v>
      </c>
      <c r="G171" t="n">
        <v>48.8510231075268</v>
      </c>
      <c r="H171" t="s">
        <v>491</v>
      </c>
      <c r="I171" s="1" t="str">
        <f>HYPERLINK("https://www.google.com/maps/@?api=1&amp;map_action=pano&amp;viewpoint=48.8510231075268,2.4157792193515","Open GSV")</f>
      </c>
      <c r="J171" t="s">
        <v>22</v>
      </c>
      <c r="K171" t="s">
        <v>22</v>
      </c>
      <c r="L171" t="s">
        <v>22</v>
      </c>
    </row>
    <row r="172">
      <c r="A172" t="s">
        <v>18</v>
      </c>
      <c r="B172" t="s">
        <v>6</v>
      </c>
      <c r="C172" t="s">
        <v>492</v>
      </c>
      <c r="D172"/>
      <c r="E172" t="n">
        <v>65.3164144424777</v>
      </c>
      <c r="F172" t="n">
        <v>2.34430278223574</v>
      </c>
      <c r="G172" t="n">
        <v>48.8989420280308</v>
      </c>
      <c r="H172" t="s">
        <v>493</v>
      </c>
      <c r="I172" s="1" t="str">
        <f>HYPERLINK("https://www.google.com/maps/@?api=1&amp;map_action=pano&amp;viewpoint=48.8989420280308,2.34430278223574","Open GSV")</f>
      </c>
      <c r="J172" t="s">
        <v>22</v>
      </c>
      <c r="K172" t="s">
        <v>22</v>
      </c>
      <c r="L172" t="s">
        <v>22</v>
      </c>
    </row>
    <row r="173">
      <c r="A173" t="s">
        <v>18</v>
      </c>
      <c r="B173" t="s">
        <v>6</v>
      </c>
      <c r="C173" t="s">
        <v>494</v>
      </c>
      <c r="D173"/>
      <c r="E173" t="n">
        <v>106.076436111996</v>
      </c>
      <c r="F173" t="n">
        <v>2.34426150015625</v>
      </c>
      <c r="G173" t="n">
        <v>48.9000525534269</v>
      </c>
      <c r="H173" t="s">
        <v>495</v>
      </c>
      <c r="I173" s="1" t="str">
        <f>HYPERLINK("https://www.google.com/maps/@?api=1&amp;map_action=pano&amp;viewpoint=48.9000525534269,2.34426150015625","Open GSV")</f>
      </c>
      <c r="J173" t="s">
        <v>22</v>
      </c>
      <c r="K173" t="s">
        <v>22</v>
      </c>
      <c r="L173" t="s">
        <v>22</v>
      </c>
    </row>
    <row r="174">
      <c r="A174" t="s">
        <v>18</v>
      </c>
      <c r="B174" t="s">
        <v>6</v>
      </c>
      <c r="C174" t="s">
        <v>496</v>
      </c>
      <c r="D174"/>
      <c r="E174" t="n">
        <v>92.6509035528154</v>
      </c>
      <c r="F174" t="n">
        <v>2.34432365184112</v>
      </c>
      <c r="G174" t="n">
        <v>48.9009356693727</v>
      </c>
      <c r="H174" t="s">
        <v>497</v>
      </c>
      <c r="I174" s="1" t="str">
        <f>HYPERLINK("https://www.google.com/maps/@?api=1&amp;map_action=pano&amp;viewpoint=48.9009356693727,2.34432365184112","Open GSV")</f>
      </c>
      <c r="J174" t="s">
        <v>22</v>
      </c>
      <c r="K174" t="s">
        <v>22</v>
      </c>
      <c r="L174" t="s">
        <v>22</v>
      </c>
    </row>
    <row r="175">
      <c r="A175" t="s">
        <v>18</v>
      </c>
      <c r="B175" t="s">
        <v>6</v>
      </c>
      <c r="C175" t="s">
        <v>498</v>
      </c>
      <c r="D175"/>
      <c r="E175" t="n">
        <v>249.390558470459</v>
      </c>
      <c r="F175" t="n">
        <v>2.38919798198254</v>
      </c>
      <c r="G175" t="n">
        <v>48.8716226898568</v>
      </c>
      <c r="H175" t="s">
        <v>499</v>
      </c>
      <c r="I175" s="1" t="str">
        <f>HYPERLINK("https://www.google.com/maps/@?api=1&amp;map_action=pano&amp;viewpoint=48.8716226898568,2.38919798198254","Open GSV")</f>
      </c>
      <c r="J175" t="s">
        <v>22</v>
      </c>
      <c r="K175" t="s">
        <v>22</v>
      </c>
      <c r="L175" t="s">
        <v>22</v>
      </c>
    </row>
    <row r="176">
      <c r="A176" t="s">
        <v>18</v>
      </c>
      <c r="B176" t="s">
        <v>6</v>
      </c>
      <c r="C176" t="s">
        <v>500</v>
      </c>
      <c r="D176"/>
      <c r="E176" t="n">
        <v>125.885874093745</v>
      </c>
      <c r="F176" t="n">
        <v>2.31019505791782</v>
      </c>
      <c r="G176" t="n">
        <v>48.8332863681543</v>
      </c>
      <c r="H176" t="s">
        <v>501</v>
      </c>
      <c r="I176" s="1" t="str">
        <f>HYPERLINK("https://www.google.com/maps/@?api=1&amp;map_action=pano&amp;viewpoint=48.8332863681543,2.31019505791782","Open GSV")</f>
      </c>
      <c r="J176" t="s">
        <v>22</v>
      </c>
      <c r="K176" t="s">
        <v>22</v>
      </c>
      <c r="L176" t="s">
        <v>22</v>
      </c>
    </row>
    <row r="177">
      <c r="A177" t="s">
        <v>18</v>
      </c>
      <c r="B177" t="s">
        <v>6</v>
      </c>
      <c r="C177" t="s">
        <v>502</v>
      </c>
      <c r="D177"/>
      <c r="E177" t="n">
        <v>113.088567478604</v>
      </c>
      <c r="F177" t="n">
        <v>2.2967121144502</v>
      </c>
      <c r="G177" t="n">
        <v>48.8875422440853</v>
      </c>
      <c r="H177" t="s">
        <v>503</v>
      </c>
      <c r="I177" s="1" t="str">
        <f>HYPERLINK("https://www.google.com/maps/@?api=1&amp;map_action=pano&amp;viewpoint=48.8875422440853,2.2967121144502","Open GSV")</f>
      </c>
      <c r="J177" t="s">
        <v>22</v>
      </c>
      <c r="K177" t="s">
        <v>22</v>
      </c>
      <c r="L177" t="s">
        <v>22</v>
      </c>
    </row>
    <row r="178">
      <c r="A178" t="s">
        <v>18</v>
      </c>
      <c r="B178" t="s">
        <v>6</v>
      </c>
      <c r="C178" t="s">
        <v>504</v>
      </c>
      <c r="D178"/>
      <c r="E178" t="n">
        <v>173.876602625002</v>
      </c>
      <c r="F178" t="n">
        <v>2.29614719407419</v>
      </c>
      <c r="G178" t="n">
        <v>48.8875202172686</v>
      </c>
      <c r="H178" t="s">
        <v>505</v>
      </c>
      <c r="I178" s="1" t="str">
        <f>HYPERLINK("https://www.google.com/maps/@?api=1&amp;map_action=pano&amp;viewpoint=48.8875202172686,2.29614719407419","Open GSV")</f>
      </c>
      <c r="J178" t="s">
        <v>22</v>
      </c>
      <c r="K178" t="s">
        <v>22</v>
      </c>
      <c r="L178" t="s">
        <v>22</v>
      </c>
    </row>
    <row r="179">
      <c r="A179" t="s">
        <v>18</v>
      </c>
      <c r="B179" t="s">
        <v>6</v>
      </c>
      <c r="C179" t="s">
        <v>506</v>
      </c>
      <c r="D179"/>
      <c r="E179" t="n">
        <v>37.8041191418198</v>
      </c>
      <c r="F179" t="n">
        <v>2.2979316341937</v>
      </c>
      <c r="G179" t="n">
        <v>48.8870860216641</v>
      </c>
      <c r="H179" t="s">
        <v>507</v>
      </c>
      <c r="I179" s="1" t="str">
        <f>HYPERLINK("https://www.google.com/maps/@?api=1&amp;map_action=pano&amp;viewpoint=48.8870860216641,2.2979316341937","Open GSV")</f>
      </c>
      <c r="J179" t="s">
        <v>22</v>
      </c>
      <c r="K179" t="s">
        <v>22</v>
      </c>
      <c r="L179" t="s">
        <v>22</v>
      </c>
    </row>
    <row r="180">
      <c r="A180" t="s">
        <v>18</v>
      </c>
      <c r="B180" t="s">
        <v>6</v>
      </c>
      <c r="C180" t="s">
        <v>508</v>
      </c>
      <c r="D180"/>
      <c r="E180" t="n">
        <v>27.603787019071</v>
      </c>
      <c r="F180" t="n">
        <v>2.29182064977603</v>
      </c>
      <c r="G180" t="n">
        <v>48.8859288500813</v>
      </c>
      <c r="H180" t="s">
        <v>509</v>
      </c>
      <c r="I180" s="1" t="str">
        <f>HYPERLINK("https://www.google.com/maps/@?api=1&amp;map_action=pano&amp;viewpoint=48.8859288500813,2.29182064977603","Open GSV")</f>
      </c>
      <c r="J180" t="s">
        <v>22</v>
      </c>
      <c r="K180" t="s">
        <v>22</v>
      </c>
      <c r="L180" t="s">
        <v>22</v>
      </c>
    </row>
    <row r="181">
      <c r="A181" t="s">
        <v>18</v>
      </c>
      <c r="B181" t="s">
        <v>6</v>
      </c>
      <c r="C181" t="s">
        <v>510</v>
      </c>
      <c r="D181"/>
      <c r="E181" t="n">
        <v>117.382544734127</v>
      </c>
      <c r="F181" t="n">
        <v>2.29007145258226</v>
      </c>
      <c r="G181" t="n">
        <v>48.8848057928917</v>
      </c>
      <c r="H181" t="s">
        <v>511</v>
      </c>
      <c r="I181" s="1" t="str">
        <f>HYPERLINK("https://www.google.com/maps/@?api=1&amp;map_action=pano&amp;viewpoint=48.8848057928917,2.29007145258226","Open GSV")</f>
      </c>
      <c r="J181" t="s">
        <v>22</v>
      </c>
      <c r="K181" t="s">
        <v>22</v>
      </c>
      <c r="L181" t="s">
        <v>22</v>
      </c>
    </row>
    <row r="182">
      <c r="A182" t="s">
        <v>18</v>
      </c>
      <c r="B182" t="s">
        <v>6</v>
      </c>
      <c r="C182" t="s">
        <v>512</v>
      </c>
      <c r="D182"/>
      <c r="E182" t="n">
        <v>46.5456263459136</v>
      </c>
      <c r="F182" t="n">
        <v>2.29227667196941</v>
      </c>
      <c r="G182" t="n">
        <v>48.8859055403345</v>
      </c>
      <c r="H182" t="s">
        <v>513</v>
      </c>
      <c r="I182" s="1" t="str">
        <f>HYPERLINK("https://www.google.com/maps/@?api=1&amp;map_action=pano&amp;viewpoint=48.8859055403345,2.29227667196941","Open GSV")</f>
      </c>
      <c r="J182" t="s">
        <v>22</v>
      </c>
      <c r="K182" t="s">
        <v>22</v>
      </c>
      <c r="L182" t="s">
        <v>22</v>
      </c>
    </row>
    <row r="183">
      <c r="A183" t="s">
        <v>18</v>
      </c>
      <c r="B183" t="s">
        <v>6</v>
      </c>
      <c r="C183" t="s">
        <v>514</v>
      </c>
      <c r="D183"/>
      <c r="E183" t="n">
        <v>25.8906903852669</v>
      </c>
      <c r="F183" t="n">
        <v>2.39670401241914</v>
      </c>
      <c r="G183" t="n">
        <v>48.8394101313608</v>
      </c>
      <c r="H183" t="s">
        <v>515</v>
      </c>
      <c r="I183" s="1" t="str">
        <f>HYPERLINK("https://www.google.com/maps/@?api=1&amp;map_action=pano&amp;viewpoint=48.8394101313608,2.39670401241914","Open GSV")</f>
      </c>
      <c r="J183" t="s">
        <v>22</v>
      </c>
      <c r="K183" t="s">
        <v>22</v>
      </c>
      <c r="L183" t="s">
        <v>22</v>
      </c>
    </row>
    <row r="184">
      <c r="A184" t="s">
        <v>18</v>
      </c>
      <c r="B184" t="s">
        <v>6</v>
      </c>
      <c r="C184" t="s">
        <v>516</v>
      </c>
      <c r="D184"/>
      <c r="E184" t="n">
        <v>21.9033770649013</v>
      </c>
      <c r="F184" t="n">
        <v>2.3471275773675</v>
      </c>
      <c r="G184" t="n">
        <v>48.8329097494787</v>
      </c>
      <c r="H184" t="s">
        <v>517</v>
      </c>
      <c r="I184" s="1" t="str">
        <f>HYPERLINK("https://www.google.com/maps/@?api=1&amp;map_action=pano&amp;viewpoint=48.8329097494787,2.3471275773675","Open GSV")</f>
      </c>
      <c r="J184" t="s">
        <v>22</v>
      </c>
      <c r="K184" t="s">
        <v>22</v>
      </c>
      <c r="L184" t="s">
        <v>22</v>
      </c>
    </row>
    <row r="185">
      <c r="A185" t="s">
        <v>18</v>
      </c>
      <c r="B185" t="s">
        <v>6</v>
      </c>
      <c r="C185" t="s">
        <v>518</v>
      </c>
      <c r="D185"/>
      <c r="E185" t="n">
        <v>125.901107827695</v>
      </c>
      <c r="F185" t="n">
        <v>2.31893977814572</v>
      </c>
      <c r="G185" t="n">
        <v>48.8709202829983</v>
      </c>
      <c r="H185" t="s">
        <v>519</v>
      </c>
      <c r="I185" s="1" t="str">
        <f>HYPERLINK("https://www.google.com/maps/@?api=1&amp;map_action=pano&amp;viewpoint=48.8709202829983,2.31893977814572","Open GSV")</f>
      </c>
      <c r="J185" t="s">
        <v>22</v>
      </c>
      <c r="K185" t="s">
        <v>22</v>
      </c>
      <c r="L185" t="s">
        <v>22</v>
      </c>
    </row>
    <row r="186">
      <c r="A186" t="s">
        <v>18</v>
      </c>
      <c r="B186" t="s">
        <v>6</v>
      </c>
      <c r="C186" t="s">
        <v>520</v>
      </c>
      <c r="D186"/>
      <c r="E186" t="n">
        <v>81.2515638813659</v>
      </c>
      <c r="F186" t="n">
        <v>2.35026073665183</v>
      </c>
      <c r="G186" t="n">
        <v>48.8795680386766</v>
      </c>
      <c r="H186" t="s">
        <v>521</v>
      </c>
      <c r="I186" s="1" t="str">
        <f>HYPERLINK("https://www.google.com/maps/@?api=1&amp;map_action=pano&amp;viewpoint=48.8795680386766,2.35026073665183","Open GSV")</f>
      </c>
      <c r="J186" t="s">
        <v>22</v>
      </c>
      <c r="K186" t="s">
        <v>22</v>
      </c>
      <c r="L186" t="s">
        <v>22</v>
      </c>
    </row>
    <row r="187">
      <c r="A187" t="s">
        <v>18</v>
      </c>
      <c r="B187" t="s">
        <v>6</v>
      </c>
      <c r="C187" t="s">
        <v>522</v>
      </c>
      <c r="D187"/>
      <c r="E187" t="n">
        <v>176.968128385591</v>
      </c>
      <c r="F187" t="n">
        <v>2.38098118093035</v>
      </c>
      <c r="G187" t="n">
        <v>48.8328923730255</v>
      </c>
      <c r="H187" t="s">
        <v>523</v>
      </c>
      <c r="I187" s="1" t="str">
        <f>HYPERLINK("https://www.google.com/maps/@?api=1&amp;map_action=pano&amp;viewpoint=48.8328923730255,2.38098118093035","Open GSV")</f>
      </c>
      <c r="J187" t="s">
        <v>22</v>
      </c>
      <c r="K187" t="s">
        <v>22</v>
      </c>
      <c r="L187" t="s">
        <v>22</v>
      </c>
    </row>
    <row r="188">
      <c r="A188" t="s">
        <v>18</v>
      </c>
      <c r="B188" t="s">
        <v>6</v>
      </c>
      <c r="C188" t="s">
        <v>524</v>
      </c>
      <c r="D188"/>
      <c r="E188" t="n">
        <v>34.3979648962331</v>
      </c>
      <c r="F188" t="n">
        <v>2.34336929997465</v>
      </c>
      <c r="G188" t="n">
        <v>48.8532716498948</v>
      </c>
      <c r="H188" t="s">
        <v>525</v>
      </c>
      <c r="I188" s="1" t="str">
        <f>HYPERLINK("https://www.google.com/maps/@?api=1&amp;map_action=pano&amp;viewpoint=48.8532716498948,2.34336929997465","Open GSV")</f>
      </c>
      <c r="J188" t="s">
        <v>22</v>
      </c>
      <c r="K188" t="s">
        <v>22</v>
      </c>
      <c r="L188" t="s">
        <v>22</v>
      </c>
    </row>
    <row r="189">
      <c r="A189" t="s">
        <v>18</v>
      </c>
      <c r="B189" t="s">
        <v>6</v>
      </c>
      <c r="C189" t="s">
        <v>526</v>
      </c>
      <c r="D189"/>
      <c r="E189" t="n">
        <v>190.197526184453</v>
      </c>
      <c r="F189" t="n">
        <v>2.30694083694499</v>
      </c>
      <c r="G189" t="n">
        <v>48.875685229336</v>
      </c>
      <c r="H189" t="s">
        <v>527</v>
      </c>
      <c r="I189" s="1" t="str">
        <f>HYPERLINK("https://www.google.com/maps/@?api=1&amp;map_action=pano&amp;viewpoint=48.875685229336,2.30694083694499","Open GSV")</f>
      </c>
      <c r="J189" t="s">
        <v>22</v>
      </c>
      <c r="K189" t="s">
        <v>22</v>
      </c>
      <c r="L189" t="s">
        <v>22</v>
      </c>
    </row>
    <row r="190">
      <c r="A190" t="s">
        <v>18</v>
      </c>
      <c r="B190" t="s">
        <v>6</v>
      </c>
      <c r="C190" t="s">
        <v>528</v>
      </c>
      <c r="D190"/>
      <c r="E190" t="n">
        <v>35.4212338988656</v>
      </c>
      <c r="F190" t="n">
        <v>2.37878622162812</v>
      </c>
      <c r="G190" t="n">
        <v>48.8749672484985</v>
      </c>
      <c r="H190" t="s">
        <v>529</v>
      </c>
      <c r="I190" s="1" t="str">
        <f>HYPERLINK("https://www.google.com/maps/@?api=1&amp;map_action=pano&amp;viewpoint=48.8749672484985,2.37878622162812","Open GSV")</f>
      </c>
      <c r="J190" t="s">
        <v>22</v>
      </c>
      <c r="K190" t="s">
        <v>22</v>
      </c>
      <c r="L190" t="s">
        <v>22</v>
      </c>
    </row>
    <row r="191">
      <c r="A191" t="s">
        <v>18</v>
      </c>
      <c r="B191" t="s">
        <v>6</v>
      </c>
      <c r="C191" t="s">
        <v>530</v>
      </c>
      <c r="D191"/>
      <c r="E191" t="n">
        <v>233.439044288833</v>
      </c>
      <c r="F191" t="n">
        <v>2.39420265587753</v>
      </c>
      <c r="G191" t="n">
        <v>48.8539037853413</v>
      </c>
      <c r="H191" t="s">
        <v>531</v>
      </c>
      <c r="I191" s="1" t="str">
        <f>HYPERLINK("https://www.google.com/maps/@?api=1&amp;map_action=pano&amp;viewpoint=48.8539037853413,2.39420265587753","Open GSV")</f>
      </c>
      <c r="J191" t="s">
        <v>22</v>
      </c>
      <c r="K191" t="s">
        <v>22</v>
      </c>
      <c r="L191" t="s">
        <v>22</v>
      </c>
    </row>
    <row r="192">
      <c r="A192" t="s">
        <v>18</v>
      </c>
      <c r="B192" t="s">
        <v>6</v>
      </c>
      <c r="C192" t="s">
        <v>532</v>
      </c>
      <c r="D192"/>
      <c r="E192" t="n">
        <v>71.8765920981351</v>
      </c>
      <c r="F192" t="n">
        <v>2.32266995069492</v>
      </c>
      <c r="G192" t="n">
        <v>48.8716518929194</v>
      </c>
      <c r="H192" t="s">
        <v>533</v>
      </c>
      <c r="I192" s="1" t="str">
        <f>HYPERLINK("https://www.google.com/maps/@?api=1&amp;map_action=pano&amp;viewpoint=48.8716518929194,2.32266995069492","Open GSV")</f>
      </c>
      <c r="J192" t="s">
        <v>22</v>
      </c>
      <c r="K192" t="s">
        <v>22</v>
      </c>
      <c r="L192" t="s">
        <v>22</v>
      </c>
    </row>
    <row r="193">
      <c r="A193" t="s">
        <v>18</v>
      </c>
      <c r="B193" t="s">
        <v>6</v>
      </c>
      <c r="C193" t="s">
        <v>534</v>
      </c>
      <c r="D193"/>
      <c r="E193" t="n">
        <v>158.834454876561</v>
      </c>
      <c r="F193" t="n">
        <v>2.37127210938467</v>
      </c>
      <c r="G193" t="n">
        <v>48.8748897795837</v>
      </c>
      <c r="H193" t="s">
        <v>535</v>
      </c>
      <c r="I193" s="1" t="str">
        <f>HYPERLINK("https://www.google.com/maps/@?api=1&amp;map_action=pano&amp;viewpoint=48.8748897795837,2.37127210938467","Open GSV")</f>
      </c>
      <c r="J193" t="s">
        <v>22</v>
      </c>
      <c r="K193" t="s">
        <v>22</v>
      </c>
      <c r="L193" t="s">
        <v>22</v>
      </c>
    </row>
    <row r="194">
      <c r="A194" t="s">
        <v>18</v>
      </c>
      <c r="B194" t="s">
        <v>6</v>
      </c>
      <c r="C194" t="s">
        <v>536</v>
      </c>
      <c r="D194"/>
      <c r="E194" t="n">
        <v>37.0373657240553</v>
      </c>
      <c r="F194" t="n">
        <v>2.33247214779604</v>
      </c>
      <c r="G194" t="n">
        <v>48.870253804874</v>
      </c>
      <c r="H194" t="s">
        <v>537</v>
      </c>
      <c r="I194" s="1" t="str">
        <f>HYPERLINK("https://www.google.com/maps/@?api=1&amp;map_action=pano&amp;viewpoint=48.870253804874,2.33247214779604","Open GSV")</f>
      </c>
      <c r="J194" t="s">
        <v>22</v>
      </c>
      <c r="K194" t="s">
        <v>22</v>
      </c>
      <c r="L194" t="s">
        <v>22</v>
      </c>
    </row>
    <row r="195">
      <c r="A195" t="s">
        <v>18</v>
      </c>
      <c r="B195" t="s">
        <v>6</v>
      </c>
      <c r="C195" t="s">
        <v>538</v>
      </c>
      <c r="D195"/>
      <c r="E195" t="n">
        <v>23.2819122057001</v>
      </c>
      <c r="F195" t="n">
        <v>2.32435910485833</v>
      </c>
      <c r="G195" t="n">
        <v>48.8443753877764</v>
      </c>
      <c r="H195" t="s">
        <v>539</v>
      </c>
      <c r="I195" s="1" t="str">
        <f>HYPERLINK("https://www.google.com/maps/@?api=1&amp;map_action=pano&amp;viewpoint=48.8443753877764,2.32435910485833","Open GSV")</f>
      </c>
      <c r="J195" t="s">
        <v>22</v>
      </c>
      <c r="K195" t="s">
        <v>22</v>
      </c>
      <c r="L195" t="s">
        <v>22</v>
      </c>
    </row>
    <row r="196">
      <c r="A196" t="s">
        <v>18</v>
      </c>
      <c r="B196" t="s">
        <v>6</v>
      </c>
      <c r="C196" t="s">
        <v>540</v>
      </c>
      <c r="D196"/>
      <c r="E196" t="n">
        <v>20.6613035834428</v>
      </c>
      <c r="F196" t="n">
        <v>2.28058324996742</v>
      </c>
      <c r="G196" t="n">
        <v>48.8805902500815</v>
      </c>
      <c r="H196" t="s">
        <v>541</v>
      </c>
      <c r="I196" s="1" t="str">
        <f>HYPERLINK("https://www.google.com/maps/@?api=1&amp;map_action=pano&amp;viewpoint=48.8805902500815,2.28058324996742","Open GSV")</f>
      </c>
      <c r="J196" t="s">
        <v>22</v>
      </c>
      <c r="K196" t="s">
        <v>22</v>
      </c>
      <c r="L196" t="s">
        <v>22</v>
      </c>
    </row>
    <row r="197">
      <c r="A197" t="s">
        <v>18</v>
      </c>
      <c r="B197" t="s">
        <v>6</v>
      </c>
      <c r="C197" t="s">
        <v>542</v>
      </c>
      <c r="D197"/>
      <c r="E197" t="n">
        <v>54.5268314512005</v>
      </c>
      <c r="F197" t="n">
        <v>2.37562565734811</v>
      </c>
      <c r="G197" t="n">
        <v>48.8676236073607</v>
      </c>
      <c r="H197" t="s">
        <v>543</v>
      </c>
      <c r="I197" s="1" t="str">
        <f>HYPERLINK("https://www.google.com/maps/@?api=1&amp;map_action=pano&amp;viewpoint=48.8676236073607,2.37562565734811","Open GSV")</f>
      </c>
      <c r="J197" t="s">
        <v>22</v>
      </c>
      <c r="K197" t="s">
        <v>22</v>
      </c>
      <c r="L197" t="s">
        <v>22</v>
      </c>
    </row>
    <row r="198">
      <c r="A198" t="s">
        <v>18</v>
      </c>
      <c r="B198" t="s">
        <v>6</v>
      </c>
      <c r="C198" t="s">
        <v>544</v>
      </c>
      <c r="D198"/>
      <c r="E198" t="n">
        <v>24.0857497714111</v>
      </c>
      <c r="F198" t="n">
        <v>2.29832874266652</v>
      </c>
      <c r="G198" t="n">
        <v>48.8697842031389</v>
      </c>
      <c r="H198" t="s">
        <v>545</v>
      </c>
      <c r="I198" s="1" t="str">
        <f>HYPERLINK("https://www.google.com/maps/@?api=1&amp;map_action=pano&amp;viewpoint=48.8697842031389,2.29832874266652","Open GSV")</f>
      </c>
      <c r="J198" t="s">
        <v>22</v>
      </c>
      <c r="K198" t="s">
        <v>22</v>
      </c>
      <c r="L198" t="s">
        <v>22</v>
      </c>
    </row>
    <row r="199">
      <c r="A199" t="s">
        <v>18</v>
      </c>
      <c r="B199" t="s">
        <v>6</v>
      </c>
      <c r="C199" t="s">
        <v>546</v>
      </c>
      <c r="D199"/>
      <c r="E199" t="n">
        <v>146.321652422482</v>
      </c>
      <c r="F199" t="n">
        <v>2.26254084547026</v>
      </c>
      <c r="G199" t="n">
        <v>48.8540577007997</v>
      </c>
      <c r="H199" t="s">
        <v>547</v>
      </c>
      <c r="I199" s="1" t="str">
        <f>HYPERLINK("https://www.google.com/maps/@?api=1&amp;map_action=pano&amp;viewpoint=48.8540577007997,2.26254084547026","Open GSV")</f>
      </c>
      <c r="J199" t="s">
        <v>22</v>
      </c>
      <c r="K199" t="s">
        <v>22</v>
      </c>
      <c r="L199" t="s">
        <v>22</v>
      </c>
    </row>
    <row r="200">
      <c r="A200" t="s">
        <v>18</v>
      </c>
      <c r="B200" t="s">
        <v>6</v>
      </c>
      <c r="C200" t="s">
        <v>548</v>
      </c>
      <c r="D200"/>
      <c r="E200" t="n">
        <v>25.2568399364557</v>
      </c>
      <c r="F200" t="n">
        <v>2.30942048203455</v>
      </c>
      <c r="G200" t="n">
        <v>48.8859212051334</v>
      </c>
      <c r="H200" t="s">
        <v>549</v>
      </c>
      <c r="I200" s="1" t="str">
        <f>HYPERLINK("https://www.google.com/maps/@?api=1&amp;map_action=pano&amp;viewpoint=48.8859212051334,2.30942048203455","Open GSV")</f>
      </c>
      <c r="J200" t="s">
        <v>22</v>
      </c>
      <c r="K200" t="s">
        <v>22</v>
      </c>
      <c r="L200" t="s">
        <v>22</v>
      </c>
    </row>
    <row r="201">
      <c r="A201" t="s">
        <v>18</v>
      </c>
      <c r="B201" t="s">
        <v>6</v>
      </c>
      <c r="C201" t="s">
        <v>550</v>
      </c>
      <c r="D201"/>
      <c r="E201" t="n">
        <v>20.5829978362076</v>
      </c>
      <c r="F201" t="n">
        <v>2.30913835534039</v>
      </c>
      <c r="G201" t="n">
        <v>48.8858325104205</v>
      </c>
      <c r="H201" t="s">
        <v>551</v>
      </c>
      <c r="I201" s="1" t="str">
        <f>HYPERLINK("https://www.google.com/maps/@?api=1&amp;map_action=pano&amp;viewpoint=48.8858325104205,2.30913835534039","Open GSV")</f>
      </c>
      <c r="J201" t="s">
        <v>22</v>
      </c>
      <c r="K201" t="s">
        <v>22</v>
      </c>
      <c r="L201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eugenividaltortosa</dc:creator>
  <cp:lastModifiedBy>eugenividaltortosa</cp:lastModifiedBy>
  <dcterms:created xsi:type="dcterms:W3CDTF">2026-04-14T14:56:26Z</dcterms:created>
</coreProperties>
</file>