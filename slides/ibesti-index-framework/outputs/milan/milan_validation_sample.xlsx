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s" sheetId="1" state="visible" r:id="rId1"/>
    <sheet name="validation_sample" sheetId="2" state="visible" r:id="rId2"/>
  </sheets>
</workbook>
</file>

<file path=xl/sharedStrings.xml><?xml version="1.0" encoding="utf-8"?>
<sst xmlns="http://schemas.openxmlformats.org/spreadsheetml/2006/main" count="412" uniqueCount="412">
  <si>
    <t xml:space="preserve">type</t>
  </si>
  <si>
    <t xml:space="preserve">n_total</t>
  </si>
  <si>
    <t xml:space="preserve">n_sample</t>
  </si>
  <si>
    <t xml:space="preserve">pedestrianisation</t>
  </si>
  <si>
    <t xml:space="preserve">living_street</t>
  </si>
  <si>
    <t xml:space="preserve">road_diet</t>
  </si>
  <si>
    <t xml:space="preserve">cycleway_added</t>
  </si>
  <si>
    <t xml:space="preserve">city</t>
  </si>
  <si>
    <t xml:space="preserve">seg_id</t>
  </si>
  <si>
    <t xml:space="preserve">street_name</t>
  </si>
  <si>
    <t xml:space="preserve">seg_len_m</t>
  </si>
  <si>
    <t xml:space="preserve">lon</t>
  </si>
  <si>
    <t xml:space="preserve">lat</t>
  </si>
  <si>
    <t xml:space="preserve">gsv_url</t>
  </si>
  <si>
    <t xml:space="preserve">gsv_link</t>
  </si>
  <si>
    <t xml:space="preserve">valid_change</t>
  </si>
  <si>
    <t xml:space="preserve">unclear</t>
  </si>
  <si>
    <t xml:space="preserve">comments</t>
  </si>
  <si>
    <t xml:space="preserve">milan</t>
  </si>
  <si>
    <t xml:space="preserve">ped_2</t>
  </si>
  <si>
    <t xml:space="preserve">Via Tommaso Marino</t>
  </si>
  <si>
    <t xml:space="preserve">https://www.google.com/maps/@?api=1&amp;map_action=pano&amp;viewpoint=45.4659678752311,9.19110281185025</t>
  </si>
  <si>
    <t xml:space="preserve"/>
  </si>
  <si>
    <t xml:space="preserve">ped_3</t>
  </si>
  <si>
    <t xml:space="preserve">Via San Raffaele</t>
  </si>
  <si>
    <t xml:space="preserve">https://www.google.com/maps/@?api=1&amp;map_action=pano&amp;viewpoint=45.4657386037038,9.19127468614316</t>
  </si>
  <si>
    <t xml:space="preserve">ped_5</t>
  </si>
  <si>
    <t xml:space="preserve">Via Santa Radegonda</t>
  </si>
  <si>
    <t xml:space="preserve">https://www.google.com/maps/@?api=1&amp;map_action=pano&amp;viewpoint=45.4657862125326,9.19144746277144</t>
  </si>
  <si>
    <t xml:space="preserve">ped_6</t>
  </si>
  <si>
    <t xml:space="preserve">Via Alberto Ascoli</t>
  </si>
  <si>
    <t xml:space="preserve">https://www.google.com/maps/@?api=1&amp;map_action=pano&amp;viewpoint=45.4935473911471,9.25197350496344</t>
  </si>
  <si>
    <t xml:space="preserve">ped_7</t>
  </si>
  <si>
    <t xml:space="preserve">Viale Giuseppe Marotta</t>
  </si>
  <si>
    <t xml:space="preserve">https://www.google.com/maps/@?api=1&amp;map_action=pano&amp;viewpoint=45.4986523438327,9.25352284835354</t>
  </si>
  <si>
    <t xml:space="preserve">ped_8</t>
  </si>
  <si>
    <t xml:space="preserve">Via Luigi Canonica</t>
  </si>
  <si>
    <t xml:space="preserve">https://www.google.com/maps/@?api=1&amp;map_action=pano&amp;viewpoint=45.4811869685964,9.16951526190983</t>
  </si>
  <si>
    <t xml:space="preserve">ped_9</t>
  </si>
  <si>
    <t xml:space="preserve">Via Lazzaro Spallanzani</t>
  </si>
  <si>
    <t xml:space="preserve">https://www.google.com/maps/@?api=1&amp;map_action=pano&amp;viewpoint=45.4759959004315,9.20745104898591</t>
  </si>
  <si>
    <t xml:space="preserve">ped_10</t>
  </si>
  <si>
    <t xml:space="preserve">Via Carlo Bo</t>
  </si>
  <si>
    <t xml:space="preserve">https://www.google.com/maps/@?api=1&amp;map_action=pano&amp;viewpoint=45.4420590068639,9.16355231459858</t>
  </si>
  <si>
    <t xml:space="preserve">ped_12</t>
  </si>
  <si>
    <t xml:space="preserve">https://www.google.com/maps/@?api=1&amp;map_action=pano&amp;viewpoint=45.4554995050385,9.09829237489548</t>
  </si>
  <si>
    <t xml:space="preserve">ped_13</t>
  </si>
  <si>
    <t xml:space="preserve">Viale Molise</t>
  </si>
  <si>
    <t xml:space="preserve">https://www.google.com/maps/@?api=1&amp;map_action=pano&amp;viewpoint=45.4525932128812,9.2242444555559</t>
  </si>
  <si>
    <t xml:space="preserve">ped_14</t>
  </si>
  <si>
    <t xml:space="preserve">Via Tofane</t>
  </si>
  <si>
    <t xml:space="preserve">https://www.google.com/maps/@?api=1&amp;map_action=pano&amp;viewpoint=45.5034816893298,9.22172540466589</t>
  </si>
  <si>
    <t xml:space="preserve">ped_15</t>
  </si>
  <si>
    <t xml:space="preserve">Via Luigi Bertelli</t>
  </si>
  <si>
    <t xml:space="preserve">https://www.google.com/maps/@?api=1&amp;map_action=pano&amp;viewpoint=45.5036996000019,9.22576175002202</t>
  </si>
  <si>
    <t xml:space="preserve">ped_17</t>
  </si>
  <si>
    <t xml:space="preserve">https://www.google.com/maps/@?api=1&amp;map_action=pano&amp;viewpoint=45.531555780222,9.18337536017763</t>
  </si>
  <si>
    <t xml:space="preserve">ped_18</t>
  </si>
  <si>
    <t xml:space="preserve">https://www.google.com/maps/@?api=1&amp;map_action=pano&amp;viewpoint=45.531183355346,9.18183001046135</t>
  </si>
  <si>
    <t xml:space="preserve">ped_19</t>
  </si>
  <si>
    <t xml:space="preserve">https://www.google.com/maps/@?api=1&amp;map_action=pano&amp;viewpoint=45.5301787848669,9.18163746796291</t>
  </si>
  <si>
    <t xml:space="preserve">ped_21</t>
  </si>
  <si>
    <t xml:space="preserve">https://www.google.com/maps/@?api=1&amp;map_action=pano&amp;viewpoint=45.5309922857005,9.18425682488749</t>
  </si>
  <si>
    <t xml:space="preserve">ped_23</t>
  </si>
  <si>
    <t xml:space="preserve">https://www.google.com/maps/@?api=1&amp;map_action=pano&amp;viewpoint=45.5330063095858,9.18214280545397</t>
  </si>
  <si>
    <t xml:space="preserve">ped_25</t>
  </si>
  <si>
    <t xml:space="preserve">https://www.google.com/maps/@?api=1&amp;map_action=pano&amp;viewpoint=45.5322778839605,9.18201352595103</t>
  </si>
  <si>
    <t xml:space="preserve">ped_26</t>
  </si>
  <si>
    <t xml:space="preserve">https://www.google.com/maps/@?api=1&amp;map_action=pano&amp;viewpoint=45.5314650459148,9.17964960964012</t>
  </si>
  <si>
    <t xml:space="preserve">ped_27</t>
  </si>
  <si>
    <t xml:space="preserve">https://www.google.com/maps/@?api=1&amp;map_action=pano&amp;viewpoint=45.5314655547931,9.18065125329631</t>
  </si>
  <si>
    <t xml:space="preserve">ped_28</t>
  </si>
  <si>
    <t xml:space="preserve">https://www.google.com/maps/@?api=1&amp;map_action=pano&amp;viewpoint=45.5299899513526,9.183928800453</t>
  </si>
  <si>
    <t xml:space="preserve">ped_29</t>
  </si>
  <si>
    <t xml:space="preserve">https://www.google.com/maps/@?api=1&amp;map_action=pano&amp;viewpoint=45.529450032949,9.18301874993097</t>
  </si>
  <si>
    <t xml:space="preserve">ped_31</t>
  </si>
  <si>
    <t xml:space="preserve">https://www.google.com/maps/@?api=1&amp;map_action=pano&amp;viewpoint=45.5297321410217,9.18008686178289</t>
  </si>
  <si>
    <t xml:space="preserve">ped_32</t>
  </si>
  <si>
    <t xml:space="preserve">https://www.google.com/maps/@?api=1&amp;map_action=pano&amp;viewpoint=45.5295496086549,9.18223808585977</t>
  </si>
  <si>
    <t xml:space="preserve">ped_33</t>
  </si>
  <si>
    <t xml:space="preserve">https://www.google.com/maps/@?api=1&amp;map_action=pano&amp;viewpoint=45.5319566377292,9.18195282160938</t>
  </si>
  <si>
    <t xml:space="preserve">ped_34</t>
  </si>
  <si>
    <t xml:space="preserve">https://www.google.com/maps/@?api=1&amp;map_action=pano&amp;viewpoint=45.5307770956447,9.18175470027875</t>
  </si>
  <si>
    <t xml:space="preserve">ped_35</t>
  </si>
  <si>
    <t xml:space="preserve">Viale Dottori Ingegneri Fratelli Palli</t>
  </si>
  <si>
    <t xml:space="preserve">https://www.google.com/maps/@?api=1&amp;map_action=pano&amp;viewpoint=45.4780890350359,9.22813307499656</t>
  </si>
  <si>
    <t xml:space="preserve">ped_36</t>
  </si>
  <si>
    <t xml:space="preserve">https://www.google.com/maps/@?api=1&amp;map_action=pano&amp;viewpoint=45.4651443121606,9.19135947851444</t>
  </si>
  <si>
    <t xml:space="preserve">ped_37</t>
  </si>
  <si>
    <t xml:space="preserve">Alzaia Naviglio Grande</t>
  </si>
  <si>
    <t xml:space="preserve">https://www.google.com/maps/@?api=1&amp;map_action=pano&amp;viewpoint=45.4412346555463,9.12934008252157</t>
  </si>
  <si>
    <t xml:space="preserve">ped_39</t>
  </si>
  <si>
    <t xml:space="preserve">https://www.google.com/maps/@?api=1&amp;map_action=pano&amp;viewpoint=45.5301392465324,9.18165044766044</t>
  </si>
  <si>
    <t xml:space="preserve">ped_41</t>
  </si>
  <si>
    <t xml:space="preserve">https://www.google.com/maps/@?api=1&amp;map_action=pano&amp;viewpoint=45.5292234968716,9.18149238578049</t>
  </si>
  <si>
    <t xml:space="preserve">ped_42</t>
  </si>
  <si>
    <t xml:space="preserve">https://www.google.com/maps/@?api=1&amp;map_action=pano&amp;viewpoint=45.5302875773076,9.18040532581568</t>
  </si>
  <si>
    <t xml:space="preserve">ped_43</t>
  </si>
  <si>
    <t xml:space="preserve">https://www.google.com/maps/@?api=1&amp;map_action=pano&amp;viewpoint=45.5300271704695,9.18337249276312</t>
  </si>
  <si>
    <t xml:space="preserve">ped_45</t>
  </si>
  <si>
    <t xml:space="preserve">Via Guglielmo Marconi</t>
  </si>
  <si>
    <t xml:space="preserve">https://www.google.com/maps/@?api=1&amp;map_action=pano&amp;viewpoint=45.462985178458,9.18992923505539</t>
  </si>
  <si>
    <t xml:space="preserve">ped_48</t>
  </si>
  <si>
    <t xml:space="preserve">https://www.google.com/maps/@?api=1&amp;map_action=pano&amp;viewpoint=45.495917031012,9.25363075737409</t>
  </si>
  <si>
    <t xml:space="preserve">ped_49</t>
  </si>
  <si>
    <t xml:space="preserve">https://www.google.com/maps/@?api=1&amp;map_action=pano&amp;viewpoint=45.4754966511444,9.20663054716429</t>
  </si>
  <si>
    <t xml:space="preserve">ped_50</t>
  </si>
  <si>
    <t xml:space="preserve">Via del Carmine</t>
  </si>
  <si>
    <t xml:space="preserve">https://www.google.com/maps/@?api=1&amp;map_action=pano&amp;viewpoint=45.4702528620521,9.18602101282431</t>
  </si>
  <si>
    <t xml:space="preserve">ped_51</t>
  </si>
  <si>
    <t xml:space="preserve">https://www.google.com/maps/@?api=1&amp;map_action=pano&amp;viewpoint=45.4652157628765,9.19203621207668</t>
  </si>
  <si>
    <t xml:space="preserve">ped_52</t>
  </si>
  <si>
    <t xml:space="preserve">Via Paolo Sarpi</t>
  </si>
  <si>
    <t xml:space="preserve">https://www.google.com/maps/@?api=1&amp;map_action=pano&amp;viewpoint=45.4811942008021,9.17353234976692</t>
  </si>
  <si>
    <t xml:space="preserve">ped_53</t>
  </si>
  <si>
    <t xml:space="preserve">https://www.google.com/maps/@?api=1&amp;map_action=pano&amp;viewpoint=45.4812534332859,9.17433696962667</t>
  </si>
  <si>
    <t xml:space="preserve">ped_54</t>
  </si>
  <si>
    <t xml:space="preserve">https://www.google.com/maps/@?api=1&amp;map_action=pano&amp;viewpoint=45.4810279534229,9.17131964894257</t>
  </si>
  <si>
    <t xml:space="preserve">ped_56</t>
  </si>
  <si>
    <t xml:space="preserve">Via della Rigosella</t>
  </si>
  <si>
    <t xml:space="preserve">https://www.google.com/maps/@?api=1&amp;map_action=pano&amp;viewpoint=45.4933380502329,9.15449704937544</t>
  </si>
  <si>
    <t xml:space="preserve">ped_57</t>
  </si>
  <si>
    <t xml:space="preserve">Viale Romagna</t>
  </si>
  <si>
    <t xml:space="preserve">https://www.google.com/maps/@?api=1&amp;map_action=pano&amp;viewpoint=45.470490800146,9.22402272293317</t>
  </si>
  <si>
    <t xml:space="preserve">ped_58</t>
  </si>
  <si>
    <t xml:space="preserve">Piazza Angelo Sraffa</t>
  </si>
  <si>
    <t xml:space="preserve">https://www.google.com/maps/@?api=1&amp;map_action=pano&amp;viewpoint=45.4494006325648,9.1884129537083</t>
  </si>
  <si>
    <t xml:space="preserve">ped_60</t>
  </si>
  <si>
    <t xml:space="preserve">https://www.google.com/maps/@?api=1&amp;map_action=pano&amp;viewpoint=45.4492837840629,9.18911923993339</t>
  </si>
  <si>
    <t xml:space="preserve">ped_61</t>
  </si>
  <si>
    <t xml:space="preserve">Via Alfredo Albertini</t>
  </si>
  <si>
    <t xml:space="preserve">https://www.google.com/maps/@?api=1&amp;map_action=pano&amp;viewpoint=45.4810240000034,9.17222975003314</t>
  </si>
  <si>
    <t xml:space="preserve">ped_62</t>
  </si>
  <si>
    <t xml:space="preserve">Via Idro</t>
  </si>
  <si>
    <t xml:space="preserve">https://www.google.com/maps/@?api=1&amp;map_action=pano&amp;viewpoint=45.5176968251045,9.25678704081955</t>
  </si>
  <si>
    <t xml:space="preserve">ped_63</t>
  </si>
  <si>
    <t xml:space="preserve">https://www.google.com/maps/@?api=1&amp;map_action=pano&amp;viewpoint=45.5152637330444,9.25555275834963</t>
  </si>
  <si>
    <t xml:space="preserve">ped_65</t>
  </si>
  <si>
    <t xml:space="preserve">Largo Enrico Bigatti</t>
  </si>
  <si>
    <t xml:space="preserve">https://www.google.com/maps/@?api=1&amp;map_action=pano&amp;viewpoint=45.5154555719955,9.24821564481595</t>
  </si>
  <si>
    <t xml:space="preserve">ped_66</t>
  </si>
  <si>
    <t xml:space="preserve">https://www.google.com/maps/@?api=1&amp;map_action=pano&amp;viewpoint=45.5127953871245,9.25422141599068</t>
  </si>
  <si>
    <t xml:space="preserve">liv_1</t>
  </si>
  <si>
    <t xml:space="preserve">Piazza Venino</t>
  </si>
  <si>
    <t xml:space="preserve">https://www.google.com/maps/@?api=1&amp;map_action=pano&amp;viewpoint=45.4608438077615,9.16956093649931</t>
  </si>
  <si>
    <t xml:space="preserve">liv_2</t>
  </si>
  <si>
    <t xml:space="preserve">Via Angiolo Maffucci</t>
  </si>
  <si>
    <t xml:space="preserve">https://www.google.com/maps/@?api=1&amp;map_action=pano&amp;viewpoint=45.50117194431,9.17147034421265</t>
  </si>
  <si>
    <t xml:space="preserve">liv_3</t>
  </si>
  <si>
    <t xml:space="preserve">Via Val Daone</t>
  </si>
  <si>
    <t xml:space="preserve">https://www.google.com/maps/@?api=1&amp;map_action=pano&amp;viewpoint=45.5062212536379,9.19361068596544</t>
  </si>
  <si>
    <t xml:space="preserve">liv_4</t>
  </si>
  <si>
    <t xml:space="preserve">Via Giuseppe Vidali</t>
  </si>
  <si>
    <t xml:space="preserve">https://www.google.com/maps/@?api=1&amp;map_action=pano&amp;viewpoint=45.5076455073902,9.20044144685747</t>
  </si>
  <si>
    <t xml:space="preserve">liv_5</t>
  </si>
  <si>
    <t xml:space="preserve">Via Val Cismon</t>
  </si>
  <si>
    <t xml:space="preserve">https://www.google.com/maps/@?api=1&amp;map_action=pano&amp;viewpoint=45.5065366289204,9.19452192878493</t>
  </si>
  <si>
    <t xml:space="preserve">liv_6</t>
  </si>
  <si>
    <t xml:space="preserve">Via Angelo De Gasperis</t>
  </si>
  <si>
    <t xml:space="preserve">https://www.google.com/maps/@?api=1&amp;map_action=pano&amp;viewpoint=45.5071324369625,9.19459481470672</t>
  </si>
  <si>
    <t xml:space="preserve">liv_7</t>
  </si>
  <si>
    <t xml:space="preserve">Via privata Baveno</t>
  </si>
  <si>
    <t xml:space="preserve">https://www.google.com/maps/@?api=1&amp;map_action=pano&amp;viewpoint=45.5099406703201,9.17719218865828</t>
  </si>
  <si>
    <t xml:space="preserve">liv_8</t>
  </si>
  <si>
    <t xml:space="preserve">Via Anacreonte</t>
  </si>
  <si>
    <t xml:space="preserve">https://www.google.com/maps/@?api=1&amp;map_action=pano&amp;viewpoint=45.4973361001229,9.23254424995098</t>
  </si>
  <si>
    <t xml:space="preserve">liv_9</t>
  </si>
  <si>
    <t xml:space="preserve">Via Aldo Tarabella</t>
  </si>
  <si>
    <t xml:space="preserve">https://www.google.com/maps/@?api=1&amp;map_action=pano&amp;viewpoint=45.4972384885833,9.23263287602045</t>
  </si>
  <si>
    <t xml:space="preserve">liv_10</t>
  </si>
  <si>
    <t xml:space="preserve">Via privata Atene</t>
  </si>
  <si>
    <t xml:space="preserve">https://www.google.com/maps/@?api=1&amp;map_action=pano&amp;viewpoint=45.4976091251659,9.23423432296104</t>
  </si>
  <si>
    <t xml:space="preserve">liv_11</t>
  </si>
  <si>
    <t xml:space="preserve">Via privata Scipione Piattoli</t>
  </si>
  <si>
    <t xml:space="preserve">https://www.google.com/maps/@?api=1&amp;map_action=pano&amp;viewpoint=45.4982928723126,9.23175298089834</t>
  </si>
  <si>
    <t xml:space="preserve">liv_12</t>
  </si>
  <si>
    <t xml:space="preserve">Via Romolo Bitti</t>
  </si>
  <si>
    <t xml:space="preserve">https://www.google.com/maps/@?api=1&amp;map_action=pano&amp;viewpoint=45.5062465166122,9.20138901700718</t>
  </si>
  <si>
    <t xml:space="preserve">liv_13</t>
  </si>
  <si>
    <t xml:space="preserve">Via Antonio Carnevali</t>
  </si>
  <si>
    <t xml:space="preserve">https://www.google.com/maps/@?api=1&amp;map_action=pano&amp;viewpoint=45.5041863889971,9.17532415560957</t>
  </si>
  <si>
    <t xml:space="preserve">liv_14</t>
  </si>
  <si>
    <t xml:space="preserve">Via Enrico Cialdini</t>
  </si>
  <si>
    <t xml:space="preserve">https://www.google.com/maps/@?api=1&amp;map_action=pano&amp;viewpoint=45.5075439823704,9.17314409383001</t>
  </si>
  <si>
    <t xml:space="preserve">liv_15</t>
  </si>
  <si>
    <t xml:space="preserve">Via Numa Pompilio</t>
  </si>
  <si>
    <t xml:space="preserve">https://www.google.com/maps/@?api=1&amp;map_action=pano&amp;viewpoint=45.4602100714994,9.16942316447234</t>
  </si>
  <si>
    <t xml:space="preserve">liv_16</t>
  </si>
  <si>
    <t xml:space="preserve">https://www.google.com/maps/@?api=1&amp;map_action=pano&amp;viewpoint=45.4582760631241,9.16723577278782</t>
  </si>
  <si>
    <t xml:space="preserve">liv_17</t>
  </si>
  <si>
    <t xml:space="preserve">https://www.google.com/maps/@?api=1&amp;map_action=pano&amp;viewpoint=45.5070683467823,9.19493149393702</t>
  </si>
  <si>
    <t xml:space="preserve">liv_18</t>
  </si>
  <si>
    <t xml:space="preserve">Via Michele De Angelis</t>
  </si>
  <si>
    <t xml:space="preserve">https://www.google.com/maps/@?api=1&amp;map_action=pano&amp;viewpoint=45.5068604584875,9.19346357210543</t>
  </si>
  <si>
    <t xml:space="preserve">liv_19</t>
  </si>
  <si>
    <t xml:space="preserve">https://www.google.com/maps/@?api=1&amp;map_action=pano&amp;viewpoint=45.5066817788023,9.1942209810211</t>
  </si>
  <si>
    <t xml:space="preserve">liv_20</t>
  </si>
  <si>
    <t xml:space="preserve">https://www.google.com/maps/@?api=1&amp;map_action=pano&amp;viewpoint=45.5064736522135,9.19396904049392</t>
  </si>
  <si>
    <t xml:space="preserve">liv_21</t>
  </si>
  <si>
    <t xml:space="preserve">Via Salvatore Pianell</t>
  </si>
  <si>
    <t xml:space="preserve">https://www.google.com/maps/@?api=1&amp;map_action=pano&amp;viewpoint=45.508151604348,9.20241165339069</t>
  </si>
  <si>
    <t xml:space="preserve">liv_22</t>
  </si>
  <si>
    <t xml:space="preserve">https://www.google.com/maps/@?api=1&amp;map_action=pano&amp;viewpoint=45.5078935396854,9.20317407961577</t>
  </si>
  <si>
    <t xml:space="preserve">liv_23</t>
  </si>
  <si>
    <t xml:space="preserve">https://www.google.com/maps/@?api=1&amp;map_action=pano&amp;viewpoint=45.5076679883373,9.20383900600056</t>
  </si>
  <si>
    <t xml:space="preserve">liv_24</t>
  </si>
  <si>
    <t xml:space="preserve">https://www.google.com/maps/@?api=1&amp;map_action=pano&amp;viewpoint=45.5060716791337,9.19334261743802</t>
  </si>
  <si>
    <t xml:space="preserve">liv_25</t>
  </si>
  <si>
    <t xml:space="preserve">Via Jacopo Dal Verme</t>
  </si>
  <si>
    <t xml:space="preserve">https://www.google.com/maps/@?api=1&amp;map_action=pano&amp;viewpoint=45.4873765146973,9.18830162249288</t>
  </si>
  <si>
    <t xml:space="preserve">liv_26</t>
  </si>
  <si>
    <t xml:space="preserve">Via Pietro Borsieri</t>
  </si>
  <si>
    <t xml:space="preserve">https://www.google.com/maps/@?api=1&amp;map_action=pano&amp;viewpoint=45.4868397430762,9.18866011656774</t>
  </si>
  <si>
    <t xml:space="preserve">liv_27</t>
  </si>
  <si>
    <t xml:space="preserve">Via Rovereto</t>
  </si>
  <si>
    <t xml:space="preserve">https://www.google.com/maps/@?api=1&amp;map_action=pano&amp;viewpoint=45.4947678914839,9.22052446805917</t>
  </si>
  <si>
    <t xml:space="preserve">liv_28</t>
  </si>
  <si>
    <t xml:space="preserve">https://www.google.com/maps/@?api=1&amp;map_action=pano&amp;viewpoint=45.4974323661664,9.23347743454582</t>
  </si>
  <si>
    <t xml:space="preserve">liv_29</t>
  </si>
  <si>
    <t xml:space="preserve">https://www.google.com/maps/@?api=1&amp;map_action=pano&amp;viewpoint=45.4975308470368,9.23446904935301</t>
  </si>
  <si>
    <t xml:space="preserve">liv_30</t>
  </si>
  <si>
    <t xml:space="preserve">https://www.google.com/maps/@?api=1&amp;map_action=pano&amp;viewpoint=45.5058554590041,9.19347028693603</t>
  </si>
  <si>
    <t xml:space="preserve">rd_1</t>
  </si>
  <si>
    <t xml:space="preserve">Via Filippo Palizzi</t>
  </si>
  <si>
    <t xml:space="preserve">https://www.google.com/maps/@?api=1&amp;map_action=pano&amp;viewpoint=45.5076350404018,9.13829052432655</t>
  </si>
  <si>
    <t xml:space="preserve">rd_2</t>
  </si>
  <si>
    <t xml:space="preserve">Piazza Enrico Bottini</t>
  </si>
  <si>
    <t xml:space="preserve">https://www.google.com/maps/@?api=1&amp;map_action=pano&amp;viewpoint=45.4851902002222,9.23570351487691</t>
  </si>
  <si>
    <t xml:space="preserve">rd_3</t>
  </si>
  <si>
    <t xml:space="preserve">Raccordo Cavalcavia Cascina Gobba</t>
  </si>
  <si>
    <t xml:space="preserve">https://www.google.com/maps/@?api=1&amp;map_action=pano&amp;viewpoint=45.5137178170413,9.26414796025196</t>
  </si>
  <si>
    <t xml:space="preserve">rd_4</t>
  </si>
  <si>
    <t xml:space="preserve">Tangenziale Est</t>
  </si>
  <si>
    <t xml:space="preserve">https://www.google.com/maps/@?api=1&amp;map_action=pano&amp;viewpoint=45.5124258614047,9.26095226330416</t>
  </si>
  <si>
    <t xml:space="preserve">rd_5</t>
  </si>
  <si>
    <t xml:space="preserve">Via Spezia</t>
  </si>
  <si>
    <t xml:space="preserve">https://www.google.com/maps/@?api=1&amp;map_action=pano&amp;viewpoint=45.4389681869381,9.17180816750032</t>
  </si>
  <si>
    <t xml:space="preserve">rd_6</t>
  </si>
  <si>
    <t xml:space="preserve">Via Gallarate</t>
  </si>
  <si>
    <t xml:space="preserve">https://www.google.com/maps/@?api=1&amp;map_action=pano&amp;viewpoint=45.5015889813092,9.1196322658142</t>
  </si>
  <si>
    <t xml:space="preserve">rd_7</t>
  </si>
  <si>
    <t xml:space="preserve">https://www.google.com/maps/@?api=1&amp;map_action=pano&amp;viewpoint=45.5039616982682,9.10921320841679</t>
  </si>
  <si>
    <t xml:space="preserve">rd_8</t>
  </si>
  <si>
    <t xml:space="preserve">https://www.google.com/maps/@?api=1&amp;map_action=pano&amp;viewpoint=45.5030688805958,9.11285866310736</t>
  </si>
  <si>
    <t xml:space="preserve">rd_9</t>
  </si>
  <si>
    <t xml:space="preserve">https://www.google.com/maps/@?api=1&amp;map_action=pano&amp;viewpoint=45.5022005717216,9.11652681888276</t>
  </si>
  <si>
    <t xml:space="preserve">rd_10</t>
  </si>
  <si>
    <t xml:space="preserve">https://www.google.com/maps/@?api=1&amp;map_action=pano&amp;viewpoint=45.5027208793852,9.11461464078457</t>
  </si>
  <si>
    <t xml:space="preserve">rd_11</t>
  </si>
  <si>
    <t xml:space="preserve">https://www.google.com/maps/@?api=1&amp;map_action=pano&amp;viewpoint=45.4844909347315,9.23676002861519</t>
  </si>
  <si>
    <t xml:space="preserve">rd_12</t>
  </si>
  <si>
    <t xml:space="preserve">Via Emilio De Marchi</t>
  </si>
  <si>
    <t xml:space="preserve">https://www.google.com/maps/@?api=1&amp;map_action=pano&amp;viewpoint=45.5067336663017,9.21074563583137</t>
  </si>
  <si>
    <t xml:space="preserve">rd_13</t>
  </si>
  <si>
    <t xml:space="preserve">https://www.google.com/maps/@?api=1&amp;map_action=pano&amp;viewpoint=45.5063618362704,9.09977536673109</t>
  </si>
  <si>
    <t xml:space="preserve">rd_14</t>
  </si>
  <si>
    <t xml:space="preserve">https://www.google.com/maps/@?api=1&amp;map_action=pano&amp;viewpoint=45.506324377035,9.09956109213609</t>
  </si>
  <si>
    <t xml:space="preserve">rd_15</t>
  </si>
  <si>
    <t xml:space="preserve">Via Palmanova</t>
  </si>
  <si>
    <t xml:space="preserve">https://www.google.com/maps/@?api=1&amp;map_action=pano&amp;viewpoint=45.5136316353374,9.25937352019244</t>
  </si>
  <si>
    <t xml:space="preserve">rd_16</t>
  </si>
  <si>
    <t xml:space="preserve">https://www.google.com/maps/@?api=1&amp;map_action=pano&amp;viewpoint=45.5133761116943,9.25858040964132</t>
  </si>
  <si>
    <t xml:space="preserve">rd_17</t>
  </si>
  <si>
    <t xml:space="preserve">Piazza Sant'Agostino</t>
  </si>
  <si>
    <t xml:space="preserve">https://www.google.com/maps/@?api=1&amp;map_action=pano&amp;viewpoint=45.4588822440756,9.17018009624707</t>
  </si>
  <si>
    <t xml:space="preserve">rd_18</t>
  </si>
  <si>
    <t xml:space="preserve">Piazzale Loreto</t>
  </si>
  <si>
    <t xml:space="preserve">https://www.google.com/maps/@?api=1&amp;map_action=pano&amp;viewpoint=45.4860816972506,9.21612417022893</t>
  </si>
  <si>
    <t xml:space="preserve">rd_19</t>
  </si>
  <si>
    <t xml:space="preserve">Via Ettore Majorana</t>
  </si>
  <si>
    <t xml:space="preserve">https://www.google.com/maps/@?api=1&amp;map_action=pano&amp;viewpoint=45.5139742312652,9.18109891952669</t>
  </si>
  <si>
    <t xml:space="preserve">rd_20</t>
  </si>
  <si>
    <t xml:space="preserve">https://www.google.com/maps/@?api=1&amp;map_action=pano&amp;viewpoint=45.506611205801,9.2108531478425</t>
  </si>
  <si>
    <t xml:space="preserve">rd_21</t>
  </si>
  <si>
    <t xml:space="preserve">https://www.google.com/maps/@?api=1&amp;map_action=pano&amp;viewpoint=45.4380904598717,9.17122366220857</t>
  </si>
  <si>
    <t xml:space="preserve">rd_22</t>
  </si>
  <si>
    <t xml:space="preserve">https://www.google.com/maps/@?api=1&amp;map_action=pano&amp;viewpoint=45.5022599930715,9.11655644913586</t>
  </si>
  <si>
    <t xml:space="preserve">rd_23</t>
  </si>
  <si>
    <t xml:space="preserve">https://www.google.com/maps/@?api=1&amp;map_action=pano&amp;viewpoint=45.5019125507069,9.11803875065328</t>
  </si>
  <si>
    <t xml:space="preserve">rd_24</t>
  </si>
  <si>
    <t xml:space="preserve">https://www.google.com/maps/@?api=1&amp;map_action=pano&amp;viewpoint=45.5018516267466,9.11800883960319</t>
  </si>
  <si>
    <t xml:space="preserve">rd_25</t>
  </si>
  <si>
    <t xml:space="preserve">https://www.google.com/maps/@?api=1&amp;map_action=pano&amp;viewpoint=45.5016620292934,9.11882347295468</t>
  </si>
  <si>
    <t xml:space="preserve">rd_26</t>
  </si>
  <si>
    <t xml:space="preserve">Viale Enrico Forlanini</t>
  </si>
  <si>
    <t xml:space="preserve">https://www.google.com/maps/@?api=1&amp;map_action=pano&amp;viewpoint=45.4619087542343,9.25090295018584</t>
  </si>
  <si>
    <t xml:space="preserve">rd_27</t>
  </si>
  <si>
    <t xml:space="preserve">https://www.google.com/maps/@?api=1&amp;map_action=pano&amp;viewpoint=45.4619209030183,9.24860940007748</t>
  </si>
  <si>
    <t xml:space="preserve">rd_28</t>
  </si>
  <si>
    <t xml:space="preserve">https://www.google.com/maps/@?api=1&amp;map_action=pano&amp;viewpoint=45.513726689737,9.25982230428024</t>
  </si>
  <si>
    <t xml:space="preserve">rd_29</t>
  </si>
  <si>
    <t xml:space="preserve">https://www.google.com/maps/@?api=1&amp;map_action=pano&amp;viewpoint=45.513815313337,9.26349821065588</t>
  </si>
  <si>
    <t xml:space="preserve">rd_30</t>
  </si>
  <si>
    <t xml:space="preserve">https://www.google.com/maps/@?api=1&amp;map_action=pano&amp;viewpoint=45.5031333030052,9.11289041613067</t>
  </si>
  <si>
    <t xml:space="preserve">rd_31</t>
  </si>
  <si>
    <t xml:space="preserve">https://www.google.com/maps/@?api=1&amp;map_action=pano&amp;viewpoint=45.5026516502554,9.11459679458611</t>
  </si>
  <si>
    <t xml:space="preserve">rd_32</t>
  </si>
  <si>
    <t xml:space="preserve">https://www.google.com/maps/@?api=1&amp;map_action=pano&amp;viewpoint=45.5015132442278,9.11960855674656</t>
  </si>
  <si>
    <t xml:space="preserve">rd_33</t>
  </si>
  <si>
    <t xml:space="preserve">https://www.google.com/maps/@?api=1&amp;map_action=pano&amp;viewpoint=45.503667992649,9.11065220967886</t>
  </si>
  <si>
    <t xml:space="preserve">rd_34</t>
  </si>
  <si>
    <t xml:space="preserve">Via Rombon</t>
  </si>
  <si>
    <t xml:space="preserve">https://www.google.com/maps/@?api=1&amp;map_action=pano&amp;viewpoint=45.4870757634837,9.24927202933219</t>
  </si>
  <si>
    <t xml:space="preserve">rd_35</t>
  </si>
  <si>
    <t xml:space="preserve">https://www.google.com/maps/@?api=1&amp;map_action=pano&amp;viewpoint=45.5017319507455,9.11885330065125</t>
  </si>
  <si>
    <t xml:space="preserve">rd_36</t>
  </si>
  <si>
    <t xml:space="preserve">https://www.google.com/maps/@?api=1&amp;map_action=pano&amp;viewpoint=45.4850755961118,9.23582377719469</t>
  </si>
  <si>
    <t xml:space="preserve">rd_37</t>
  </si>
  <si>
    <t xml:space="preserve">Viale Cassiodoro</t>
  </si>
  <si>
    <t xml:space="preserve">https://www.google.com/maps/@?api=1&amp;map_action=pano&amp;viewpoint=45.4757412000216,9.15979805013311</t>
  </si>
  <si>
    <t xml:space="preserve">rd_38</t>
  </si>
  <si>
    <t xml:space="preserve">https://www.google.com/maps/@?api=1&amp;map_action=pano&amp;viewpoint=45.4755478482171,9.15969044289611</t>
  </si>
  <si>
    <t xml:space="preserve">cyc_13</t>
  </si>
  <si>
    <t xml:space="preserve">https://www.google.com/maps/@?api=1&amp;map_action=pano&amp;viewpoint=45.5307865436249,9.17639045642156</t>
  </si>
  <si>
    <t xml:space="preserve">cyc_34</t>
  </si>
  <si>
    <t xml:space="preserve">https://www.google.com/maps/@?api=1&amp;map_action=pano&amp;viewpoint=45.427097099253,9.16676373541144</t>
  </si>
  <si>
    <t xml:space="preserve">cyc_39</t>
  </si>
  <si>
    <t xml:space="preserve">https://www.google.com/maps/@?api=1&amp;map_action=pano&amp;viewpoint=45.4404301055213,9.20353628897883</t>
  </si>
  <si>
    <t xml:space="preserve">cyc_41</t>
  </si>
  <si>
    <t xml:space="preserve">https://www.google.com/maps/@?api=1&amp;map_action=pano&amp;viewpoint=45.444163716507,9.20233743120586</t>
  </si>
  <si>
    <t xml:space="preserve">cyc_51</t>
  </si>
  <si>
    <t xml:space="preserve">https://www.google.com/maps/@?api=1&amp;map_action=pano&amp;viewpoint=45.4588987004505,9.12740279952567</t>
  </si>
  <si>
    <t xml:space="preserve">cyc_64</t>
  </si>
  <si>
    <t xml:space="preserve">https://www.google.com/maps/@?api=1&amp;map_action=pano&amp;viewpoint=45.4574873344502,9.12180659278386</t>
  </si>
  <si>
    <t xml:space="preserve">cyc_67</t>
  </si>
  <si>
    <t xml:space="preserve">https://www.google.com/maps/@?api=1&amp;map_action=pano&amp;viewpoint=45.4564552001576,9.11797799977427</t>
  </si>
  <si>
    <t xml:space="preserve">cyc_69</t>
  </si>
  <si>
    <t xml:space="preserve">https://www.google.com/maps/@?api=1&amp;map_action=pano&amp;viewpoint=45.4564785029557,9.11796639860968</t>
  </si>
  <si>
    <t xml:space="preserve">cyc_74</t>
  </si>
  <si>
    <t xml:space="preserve">https://www.google.com/maps/@?api=1&amp;map_action=pano&amp;viewpoint=45.5264293016089,9.19193363973177</t>
  </si>
  <si>
    <t xml:space="preserve">cyc_85</t>
  </si>
  <si>
    <t xml:space="preserve">https://www.google.com/maps/@?api=1&amp;map_action=pano&amp;viewpoint=45.4713353505872,9.15408285181177</t>
  </si>
  <si>
    <t xml:space="preserve">cyc_89</t>
  </si>
  <si>
    <t xml:space="preserve">https://www.google.com/maps/@?api=1&amp;map_action=pano&amp;viewpoint=45.4822680500982,9.19463135017492</t>
  </si>
  <si>
    <t xml:space="preserve">cyc_90</t>
  </si>
  <si>
    <t xml:space="preserve">https://www.google.com/maps/@?api=1&amp;map_action=pano&amp;viewpoint=45.5193925992257,9.16699093673509</t>
  </si>
  <si>
    <t xml:space="preserve">cyc_110</t>
  </si>
  <si>
    <t xml:space="preserve">https://www.google.com/maps/@?api=1&amp;map_action=pano&amp;viewpoint=45.5328398648661,9.17402211008535</t>
  </si>
  <si>
    <t xml:space="preserve">cyc_116</t>
  </si>
  <si>
    <t xml:space="preserve">https://www.google.com/maps/@?api=1&amp;map_action=pano&amp;viewpoint=45.4695894565283,9.17587177503792</t>
  </si>
  <si>
    <t xml:space="preserve">cyc_121</t>
  </si>
  <si>
    <t xml:space="preserve">https://www.google.com/maps/@?api=1&amp;map_action=pano&amp;viewpoint=45.5115155387642,9.10156068115966</t>
  </si>
  <si>
    <t xml:space="preserve">cyc_127</t>
  </si>
  <si>
    <t xml:space="preserve">https://www.google.com/maps/@?api=1&amp;map_action=pano&amp;viewpoint=45.45662790053,9.15944155308298</t>
  </si>
  <si>
    <t xml:space="preserve">cyc_153</t>
  </si>
  <si>
    <t xml:space="preserve">https://www.google.com/maps/@?api=1&amp;map_action=pano&amp;viewpoint=45.5055529215771,9.26172053334001</t>
  </si>
  <si>
    <t xml:space="preserve">cyc_158</t>
  </si>
  <si>
    <t xml:space="preserve">https://www.google.com/maps/@?api=1&amp;map_action=pano&amp;viewpoint=45.4352568631367,9.20468452538339</t>
  </si>
  <si>
    <t xml:space="preserve">cyc_159</t>
  </si>
  <si>
    <t xml:space="preserve">https://www.google.com/maps/@?api=1&amp;map_action=pano&amp;viewpoint=45.4228495777292,9.20435957978311</t>
  </si>
  <si>
    <t xml:space="preserve">cyc_165</t>
  </si>
  <si>
    <t xml:space="preserve">https://www.google.com/maps/@?api=1&amp;map_action=pano&amp;viewpoint=45.4685688902265,9.22372090564229</t>
  </si>
  <si>
    <t xml:space="preserve">cyc_178</t>
  </si>
  <si>
    <t xml:space="preserve">https://www.google.com/maps/@?api=1&amp;map_action=pano&amp;viewpoint=45.4799576752992,9.13455621213447</t>
  </si>
  <si>
    <t xml:space="preserve">cyc_209</t>
  </si>
  <si>
    <t xml:space="preserve">https://www.google.com/maps/@?api=1&amp;map_action=pano&amp;viewpoint=45.4678221241449,9.1816157512667</t>
  </si>
  <si>
    <t xml:space="preserve">cyc_212</t>
  </si>
  <si>
    <t xml:space="preserve">https://www.google.com/maps/@?api=1&amp;map_action=pano&amp;viewpoint=45.4740587936734,9.16975281559379</t>
  </si>
  <si>
    <t xml:space="preserve">cyc_223</t>
  </si>
  <si>
    <t xml:space="preserve">https://www.google.com/maps/@?api=1&amp;map_action=pano&amp;viewpoint=45.4840817895188,9.2035531700105</t>
  </si>
  <si>
    <t xml:space="preserve">cyc_236</t>
  </si>
  <si>
    <t xml:space="preserve">https://www.google.com/maps/@?api=1&amp;map_action=pano&amp;viewpoint=45.4281313594927,9.18122210867667</t>
  </si>
  <si>
    <t xml:space="preserve">cyc_277</t>
  </si>
  <si>
    <t xml:space="preserve">https://www.google.com/maps/@?api=1&amp;map_action=pano&amp;viewpoint=45.5063669819176,9.0999750378669</t>
  </si>
  <si>
    <t xml:space="preserve">cyc_278</t>
  </si>
  <si>
    <t xml:space="preserve">https://www.google.com/maps/@?api=1&amp;map_action=pano&amp;viewpoint=45.5061171004387,9.1011051969886</t>
  </si>
  <si>
    <t xml:space="preserve">cyc_286</t>
  </si>
  <si>
    <t xml:space="preserve">https://www.google.com/maps/@?api=1&amp;map_action=pano&amp;viewpoint=45.4811582318406,9.15624586921969</t>
  </si>
  <si>
    <t xml:space="preserve">cyc_291</t>
  </si>
  <si>
    <t xml:space="preserve">https://www.google.com/maps/@?api=1&amp;map_action=pano&amp;viewpoint=45.4404195074151,9.2402748532223</t>
  </si>
  <si>
    <t xml:space="preserve">cyc_294</t>
  </si>
  <si>
    <t xml:space="preserve">https://www.google.com/maps/@?api=1&amp;map_action=pano&amp;viewpoint=45.4203616405119,9.18965192938304</t>
  </si>
  <si>
    <t xml:space="preserve">cyc_308</t>
  </si>
  <si>
    <t xml:space="preserve">https://www.google.com/maps/@?api=1&amp;map_action=pano&amp;viewpoint=45.4679265672845,9.18262964641022</t>
  </si>
  <si>
    <t xml:space="preserve">cyc_310</t>
  </si>
  <si>
    <t xml:space="preserve">https://www.google.com/maps/@?api=1&amp;map_action=pano&amp;viewpoint=45.4871800589162,9.25812364700863</t>
  </si>
  <si>
    <t xml:space="preserve">cyc_316</t>
  </si>
  <si>
    <t xml:space="preserve">https://www.google.com/maps/@?api=1&amp;map_action=pano&amp;viewpoint=45.460094069344,9.25501620591434</t>
  </si>
  <si>
    <t xml:space="preserve">cyc_330</t>
  </si>
  <si>
    <t xml:space="preserve">https://www.google.com/maps/@?api=1&amp;map_action=pano&amp;viewpoint=45.4363613582418,9.23860189608945</t>
  </si>
  <si>
    <t xml:space="preserve">cyc_362</t>
  </si>
  <si>
    <t xml:space="preserve">https://www.google.com/maps/@?api=1&amp;map_action=pano&amp;viewpoint=45.5113221194677,9.1014661805487</t>
  </si>
  <si>
    <t xml:space="preserve">cyc_374</t>
  </si>
  <si>
    <t xml:space="preserve">https://www.google.com/maps/@?api=1&amp;map_action=pano&amp;viewpoint=45.4533331109291,9.15925778544842</t>
  </si>
  <si>
    <t xml:space="preserve">cyc_409</t>
  </si>
  <si>
    <t xml:space="preserve">https://www.google.com/maps/@?api=1&amp;map_action=pano&amp;viewpoint=45.5169828000297,9.22589474966326</t>
  </si>
  <si>
    <t xml:space="preserve">cyc_424</t>
  </si>
  <si>
    <t xml:space="preserve">https://www.google.com/maps/@?api=1&amp;map_action=pano&amp;viewpoint=45.5043207664984,9.22208801978396</t>
  </si>
  <si>
    <t xml:space="preserve">cyc_431</t>
  </si>
  <si>
    <t xml:space="preserve">https://www.google.com/maps/@?api=1&amp;map_action=pano&amp;viewpoint=45.4893787356403,9.21756614122883</t>
  </si>
  <si>
    <t xml:space="preserve">cyc_456</t>
  </si>
  <si>
    <t xml:space="preserve">https://www.google.com/maps/@?api=1&amp;map_action=pano&amp;viewpoint=45.5128630131224,9.22484509906638</t>
  </si>
  <si>
    <t xml:space="preserve">cyc_463</t>
  </si>
  <si>
    <t xml:space="preserve">https://www.google.com/maps/@?api=1&amp;map_action=pano&amp;viewpoint=45.4664086535716,9.20057792583495</t>
  </si>
  <si>
    <t xml:space="preserve">cyc_477</t>
  </si>
  <si>
    <t xml:space="preserve">https://www.google.com/maps/@?api=1&amp;map_action=pano&amp;viewpoint=45.4719640453153,9.19563931434041</t>
  </si>
  <si>
    <t xml:space="preserve">cyc_480</t>
  </si>
  <si>
    <t xml:space="preserve">https://www.google.com/maps/@?api=1&amp;map_action=pano&amp;viewpoint=45.4676259082369,9.20025983832562</t>
  </si>
  <si>
    <t xml:space="preserve">cyc_483</t>
  </si>
  <si>
    <t xml:space="preserve">https://www.google.com/maps/@?api=1&amp;map_action=pano&amp;viewpoint=45.4794960333222,9.15995169279727</t>
  </si>
  <si>
    <t xml:space="preserve">cyc_516</t>
  </si>
  <si>
    <t xml:space="preserve">https://www.google.com/maps/@?api=1&amp;map_action=pano&amp;viewpoint=45.4644296501061,9.15305804949771</t>
  </si>
  <si>
    <t xml:space="preserve">cyc_528</t>
  </si>
  <si>
    <t xml:space="preserve">https://www.google.com/maps/@?api=1&amp;map_action=pano&amp;viewpoint=45.4610169318125,9.15035243702596</t>
  </si>
  <si>
    <t xml:space="preserve">cyc_537</t>
  </si>
  <si>
    <t xml:space="preserve">https://www.google.com/maps/@?api=1&amp;map_action=pano&amp;viewpoint=45.4594630622387,9.14623096625036</t>
  </si>
  <si>
    <t xml:space="preserve">cyc_598</t>
  </si>
  <si>
    <t xml:space="preserve">https://www.google.com/maps/@?api=1&amp;map_action=pano&amp;viewpoint=45.4563194508379,9.23713449997673</t>
  </si>
  <si>
    <t xml:space="preserve">cyc_606</t>
  </si>
  <si>
    <t xml:space="preserve">https://www.google.com/maps/@?api=1&amp;map_action=pano&amp;viewpoint=45.486361800072,9.21525155014299</t>
  </si>
  <si>
    <t xml:space="preserve">cyc_610</t>
  </si>
  <si>
    <t xml:space="preserve">https://www.google.com/maps/@?api=1&amp;map_action=pano&amp;viewpoint=45.4583481501622,9.12175990118062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</si>
</sst>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67</v>
      </c>
      <c r="C2" t="n">
        <v>50</v>
      </c>
    </row>
    <row r="3">
      <c r="A3" t="s">
        <v>4</v>
      </c>
      <c r="B3" t="n">
        <v>30</v>
      </c>
      <c r="C3" t="n">
        <v>30</v>
      </c>
    </row>
    <row r="4">
      <c r="A4" t="s">
        <v>5</v>
      </c>
      <c r="B4" t="n">
        <v>38</v>
      </c>
      <c r="C4" t="n">
        <v>38</v>
      </c>
    </row>
    <row r="5">
      <c r="A5" t="s">
        <v>6</v>
      </c>
      <c r="B5" t="n">
        <v>672</v>
      </c>
      <c r="C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18</v>
      </c>
      <c r="B2" t="s">
        <v>3</v>
      </c>
      <c r="C2" t="s">
        <v>19</v>
      </c>
      <c r="D2" t="s">
        <v>20</v>
      </c>
      <c r="E2" t="n">
        <v>38.6171996403592</v>
      </c>
      <c r="F2" t="n">
        <v>9.19110281185025</v>
      </c>
      <c r="G2" t="n">
        <v>45.4659678752311</v>
      </c>
      <c r="H2" t="s">
        <v>21</v>
      </c>
      <c r="I2" s="1" t="str">
        <f>HYPERLINK("https://www.google.com/maps/@?api=1&amp;map_action=pano&amp;viewpoint=45.4659678752311,9.19110281185025","Open GSV")</f>
      </c>
      <c r="J2" t="s">
        <v>22</v>
      </c>
      <c r="K2" t="s">
        <v>22</v>
      </c>
      <c r="L2" t="s">
        <v>22</v>
      </c>
    </row>
    <row r="3">
      <c r="A3" t="s">
        <v>18</v>
      </c>
      <c r="B3" t="s">
        <v>3</v>
      </c>
      <c r="C3" t="s">
        <v>23</v>
      </c>
      <c r="D3" t="s">
        <v>24</v>
      </c>
      <c r="E3" t="n">
        <v>29.1039522529945</v>
      </c>
      <c r="F3" t="n">
        <v>9.19127468614316</v>
      </c>
      <c r="G3" t="n">
        <v>45.4657386037038</v>
      </c>
      <c r="H3" t="s">
        <v>25</v>
      </c>
      <c r="I3" s="1" t="str">
        <f>HYPERLINK("https://www.google.com/maps/@?api=1&amp;map_action=pano&amp;viewpoint=45.4657386037038,9.19127468614316","Open GSV")</f>
      </c>
      <c r="J3" t="s">
        <v>22</v>
      </c>
      <c r="K3" t="s">
        <v>22</v>
      </c>
      <c r="L3" t="s">
        <v>22</v>
      </c>
    </row>
    <row r="4">
      <c r="A4" t="s">
        <v>18</v>
      </c>
      <c r="B4" t="s">
        <v>3</v>
      </c>
      <c r="C4" t="s">
        <v>26</v>
      </c>
      <c r="D4" t="s">
        <v>27</v>
      </c>
      <c r="E4" t="n">
        <v>28.7254668217227</v>
      </c>
      <c r="F4" t="n">
        <v>9.19144746277144</v>
      </c>
      <c r="G4" t="n">
        <v>45.4657862125326</v>
      </c>
      <c r="H4" t="s">
        <v>28</v>
      </c>
      <c r="I4" s="1" t="str">
        <f>HYPERLINK("https://www.google.com/maps/@?api=1&amp;map_action=pano&amp;viewpoint=45.4657862125326,9.19144746277144","Open GSV")</f>
      </c>
      <c r="J4" t="s">
        <v>22</v>
      </c>
      <c r="K4" t="s">
        <v>22</v>
      </c>
      <c r="L4" t="s">
        <v>22</v>
      </c>
    </row>
    <row r="5">
      <c r="A5" t="s">
        <v>18</v>
      </c>
      <c r="B5" t="s">
        <v>3</v>
      </c>
      <c r="C5" t="s">
        <v>29</v>
      </c>
      <c r="D5" t="s">
        <v>30</v>
      </c>
      <c r="E5" t="n">
        <v>318.649723516673</v>
      </c>
      <c r="F5" t="n">
        <v>9.25197350496344</v>
      </c>
      <c r="G5" t="n">
        <v>45.4935473911471</v>
      </c>
      <c r="H5" t="s">
        <v>31</v>
      </c>
      <c r="I5" s="1" t="str">
        <f>HYPERLINK("https://www.google.com/maps/@?api=1&amp;map_action=pano&amp;viewpoint=45.4935473911471,9.25197350496344","Open GSV")</f>
      </c>
      <c r="J5" t="s">
        <v>22</v>
      </c>
      <c r="K5" t="s">
        <v>22</v>
      </c>
      <c r="L5" t="s">
        <v>22</v>
      </c>
    </row>
    <row r="6">
      <c r="A6" t="s">
        <v>18</v>
      </c>
      <c r="B6" t="s">
        <v>3</v>
      </c>
      <c r="C6" t="s">
        <v>32</v>
      </c>
      <c r="D6" t="s">
        <v>33</v>
      </c>
      <c r="E6" t="n">
        <v>427.977959327233</v>
      </c>
      <c r="F6" t="n">
        <v>9.25352284835354</v>
      </c>
      <c r="G6" t="n">
        <v>45.4986523438327</v>
      </c>
      <c r="H6" t="s">
        <v>34</v>
      </c>
      <c r="I6" s="1" t="str">
        <f>HYPERLINK("https://www.google.com/maps/@?api=1&amp;map_action=pano&amp;viewpoint=45.4986523438327,9.25352284835354","Open GSV")</f>
      </c>
      <c r="J6" t="s">
        <v>22</v>
      </c>
      <c r="K6" t="s">
        <v>22</v>
      </c>
      <c r="L6" t="s">
        <v>22</v>
      </c>
    </row>
    <row r="7">
      <c r="A7" t="s">
        <v>18</v>
      </c>
      <c r="B7" t="s">
        <v>3</v>
      </c>
      <c r="C7" t="s">
        <v>35</v>
      </c>
      <c r="D7" t="s">
        <v>36</v>
      </c>
      <c r="E7" t="n">
        <v>57.7511355176997</v>
      </c>
      <c r="F7" t="n">
        <v>9.16951526190983</v>
      </c>
      <c r="G7" t="n">
        <v>45.4811869685964</v>
      </c>
      <c r="H7" t="s">
        <v>37</v>
      </c>
      <c r="I7" s="1" t="str">
        <f>HYPERLINK("https://www.google.com/maps/@?api=1&amp;map_action=pano&amp;viewpoint=45.4811869685964,9.16951526190983","Open GSV")</f>
      </c>
      <c r="J7" t="s">
        <v>22</v>
      </c>
      <c r="K7" t="s">
        <v>22</v>
      </c>
      <c r="L7" t="s">
        <v>22</v>
      </c>
    </row>
    <row r="8">
      <c r="A8" t="s">
        <v>18</v>
      </c>
      <c r="B8" t="s">
        <v>3</v>
      </c>
      <c r="C8" t="s">
        <v>38</v>
      </c>
      <c r="D8" t="s">
        <v>39</v>
      </c>
      <c r="E8" t="n">
        <v>63.6282235625878</v>
      </c>
      <c r="F8" t="n">
        <v>9.20745104898591</v>
      </c>
      <c r="G8" t="n">
        <v>45.4759959004315</v>
      </c>
      <c r="H8" t="s">
        <v>40</v>
      </c>
      <c r="I8" s="1" t="str">
        <f>HYPERLINK("https://www.google.com/maps/@?api=1&amp;map_action=pano&amp;viewpoint=45.4759959004315,9.20745104898591","Open GSV")</f>
      </c>
      <c r="J8" t="s">
        <v>22</v>
      </c>
      <c r="K8" t="s">
        <v>22</v>
      </c>
      <c r="L8" t="s">
        <v>22</v>
      </c>
    </row>
    <row r="9">
      <c r="A9" t="s">
        <v>18</v>
      </c>
      <c r="B9" t="s">
        <v>3</v>
      </c>
      <c r="C9" t="s">
        <v>41</v>
      </c>
      <c r="D9" t="s">
        <v>42</v>
      </c>
      <c r="E9" t="n">
        <v>268.217490036589</v>
      </c>
      <c r="F9" t="n">
        <v>9.16355231459858</v>
      </c>
      <c r="G9" t="n">
        <v>45.4420590068639</v>
      </c>
      <c r="H9" t="s">
        <v>43</v>
      </c>
      <c r="I9" s="1" t="str">
        <f>HYPERLINK("https://www.google.com/maps/@?api=1&amp;map_action=pano&amp;viewpoint=45.4420590068639,9.16355231459858","Open GSV")</f>
      </c>
      <c r="J9" t="s">
        <v>22</v>
      </c>
      <c r="K9" t="s">
        <v>22</v>
      </c>
      <c r="L9" t="s">
        <v>22</v>
      </c>
    </row>
    <row r="10">
      <c r="A10" t="s">
        <v>18</v>
      </c>
      <c r="B10" t="s">
        <v>3</v>
      </c>
      <c r="C10" t="s">
        <v>44</v>
      </c>
      <c r="D10"/>
      <c r="E10" t="n">
        <v>119.457396393358</v>
      </c>
      <c r="F10" t="n">
        <v>9.09829237489548</v>
      </c>
      <c r="G10" t="n">
        <v>45.4554995050385</v>
      </c>
      <c r="H10" t="s">
        <v>45</v>
      </c>
      <c r="I10" s="1" t="str">
        <f>HYPERLINK("https://www.google.com/maps/@?api=1&amp;map_action=pano&amp;viewpoint=45.4554995050385,9.09829237489548","Open GSV")</f>
      </c>
      <c r="J10" t="s">
        <v>22</v>
      </c>
      <c r="K10" t="s">
        <v>22</v>
      </c>
      <c r="L10" t="s">
        <v>22</v>
      </c>
    </row>
    <row r="11">
      <c r="A11" t="s">
        <v>18</v>
      </c>
      <c r="B11" t="s">
        <v>3</v>
      </c>
      <c r="C11" t="s">
        <v>46</v>
      </c>
      <c r="D11" t="s">
        <v>47</v>
      </c>
      <c r="E11" t="n">
        <v>87.785919263881</v>
      </c>
      <c r="F11" t="n">
        <v>9.2242444555559</v>
      </c>
      <c r="G11" t="n">
        <v>45.4525932128812</v>
      </c>
      <c r="H11" t="s">
        <v>48</v>
      </c>
      <c r="I11" s="1" t="str">
        <f>HYPERLINK("https://www.google.com/maps/@?api=1&amp;map_action=pano&amp;viewpoint=45.4525932128812,9.2242444555559","Open GSV")</f>
      </c>
      <c r="J11" t="s">
        <v>22</v>
      </c>
      <c r="K11" t="s">
        <v>22</v>
      </c>
      <c r="L11" t="s">
        <v>22</v>
      </c>
    </row>
    <row r="12">
      <c r="A12" t="s">
        <v>18</v>
      </c>
      <c r="B12" t="s">
        <v>3</v>
      </c>
      <c r="C12" t="s">
        <v>49</v>
      </c>
      <c r="D12" t="s">
        <v>50</v>
      </c>
      <c r="E12" t="n">
        <v>38.8956593090757</v>
      </c>
      <c r="F12" t="n">
        <v>9.22172540466589</v>
      </c>
      <c r="G12" t="n">
        <v>45.5034816893298</v>
      </c>
      <c r="H12" t="s">
        <v>51</v>
      </c>
      <c r="I12" s="1" t="str">
        <f>HYPERLINK("https://www.google.com/maps/@?api=1&amp;map_action=pano&amp;viewpoint=45.5034816893298,9.22172540466589","Open GSV")</f>
      </c>
      <c r="J12" t="s">
        <v>22</v>
      </c>
      <c r="K12" t="s">
        <v>22</v>
      </c>
      <c r="L12" t="s">
        <v>22</v>
      </c>
    </row>
    <row r="13">
      <c r="A13" t="s">
        <v>18</v>
      </c>
      <c r="B13" t="s">
        <v>3</v>
      </c>
      <c r="C13" t="s">
        <v>52</v>
      </c>
      <c r="D13" t="s">
        <v>53</v>
      </c>
      <c r="E13" t="n">
        <v>15.2756515910138</v>
      </c>
      <c r="F13" t="n">
        <v>9.22576175002202</v>
      </c>
      <c r="G13" t="n">
        <v>45.5036996000019</v>
      </c>
      <c r="H13" t="s">
        <v>54</v>
      </c>
      <c r="I13" s="1" t="str">
        <f>HYPERLINK("https://www.google.com/maps/@?api=1&amp;map_action=pano&amp;viewpoint=45.5036996000019,9.22576175002202","Open GSV")</f>
      </c>
      <c r="J13" t="s">
        <v>22</v>
      </c>
      <c r="K13" t="s">
        <v>22</v>
      </c>
      <c r="L13" t="s">
        <v>22</v>
      </c>
    </row>
    <row r="14">
      <c r="A14" t="s">
        <v>18</v>
      </c>
      <c r="B14" t="s">
        <v>3</v>
      </c>
      <c r="C14" t="s">
        <v>55</v>
      </c>
      <c r="D14"/>
      <c r="E14" t="n">
        <v>298.298171505879</v>
      </c>
      <c r="F14" t="n">
        <v>9.18337536017763</v>
      </c>
      <c r="G14" t="n">
        <v>45.531555780222</v>
      </c>
      <c r="H14" t="s">
        <v>56</v>
      </c>
      <c r="I14" s="1" t="str">
        <f>HYPERLINK("https://www.google.com/maps/@?api=1&amp;map_action=pano&amp;viewpoint=45.531555780222,9.18337536017763","Open GSV")</f>
      </c>
      <c r="J14" t="s">
        <v>22</v>
      </c>
      <c r="K14" t="s">
        <v>22</v>
      </c>
      <c r="L14" t="s">
        <v>22</v>
      </c>
    </row>
    <row r="15">
      <c r="A15" t="s">
        <v>18</v>
      </c>
      <c r="B15" t="s">
        <v>3</v>
      </c>
      <c r="C15" t="s">
        <v>57</v>
      </c>
      <c r="D15"/>
      <c r="E15" t="n">
        <v>128.974552145619</v>
      </c>
      <c r="F15" t="n">
        <v>9.18183001046135</v>
      </c>
      <c r="G15" t="n">
        <v>45.531183355346</v>
      </c>
      <c r="H15" t="s">
        <v>58</v>
      </c>
      <c r="I15" s="1" t="str">
        <f>HYPERLINK("https://www.google.com/maps/@?api=1&amp;map_action=pano&amp;viewpoint=45.531183355346,9.18183001046135","Open GSV")</f>
      </c>
      <c r="J15" t="s">
        <v>22</v>
      </c>
      <c r="K15" t="s">
        <v>22</v>
      </c>
      <c r="L15" t="s">
        <v>22</v>
      </c>
    </row>
    <row r="16">
      <c r="A16" t="s">
        <v>18</v>
      </c>
      <c r="B16" t="s">
        <v>3</v>
      </c>
      <c r="C16" t="s">
        <v>59</v>
      </c>
      <c r="D16"/>
      <c r="E16" t="n">
        <v>193.751682258064</v>
      </c>
      <c r="F16" t="n">
        <v>9.18163746796291</v>
      </c>
      <c r="G16" t="n">
        <v>45.5301787848669</v>
      </c>
      <c r="H16" t="s">
        <v>60</v>
      </c>
      <c r="I16" s="1" t="str">
        <f>HYPERLINK("https://www.google.com/maps/@?api=1&amp;map_action=pano&amp;viewpoint=45.5301787848669,9.18163746796291","Open GSV")</f>
      </c>
      <c r="J16" t="s">
        <v>22</v>
      </c>
      <c r="K16" t="s">
        <v>22</v>
      </c>
      <c r="L16" t="s">
        <v>22</v>
      </c>
    </row>
    <row r="17">
      <c r="A17" t="s">
        <v>18</v>
      </c>
      <c r="B17" t="s">
        <v>3</v>
      </c>
      <c r="C17" t="s">
        <v>61</v>
      </c>
      <c r="D17"/>
      <c r="E17" t="n">
        <v>509.77461254364</v>
      </c>
      <c r="F17" t="n">
        <v>9.18425682488749</v>
      </c>
      <c r="G17" t="n">
        <v>45.5309922857005</v>
      </c>
      <c r="H17" t="s">
        <v>62</v>
      </c>
      <c r="I17" s="1" t="str">
        <f>HYPERLINK("https://www.google.com/maps/@?api=1&amp;map_action=pano&amp;viewpoint=45.5309922857005,9.18425682488749","Open GSV")</f>
      </c>
      <c r="J17" t="s">
        <v>22</v>
      </c>
      <c r="K17" t="s">
        <v>22</v>
      </c>
      <c r="L17" t="s">
        <v>22</v>
      </c>
    </row>
    <row r="18">
      <c r="A18" t="s">
        <v>18</v>
      </c>
      <c r="B18" t="s">
        <v>3</v>
      </c>
      <c r="C18" t="s">
        <v>63</v>
      </c>
      <c r="D18"/>
      <c r="E18" t="n">
        <v>230.464174151741</v>
      </c>
      <c r="F18" t="n">
        <v>9.18214280545397</v>
      </c>
      <c r="G18" t="n">
        <v>45.5330063095858</v>
      </c>
      <c r="H18" t="s">
        <v>64</v>
      </c>
      <c r="I18" s="1" t="str">
        <f>HYPERLINK("https://www.google.com/maps/@?api=1&amp;map_action=pano&amp;viewpoint=45.5330063095858,9.18214280545397","Open GSV")</f>
      </c>
      <c r="J18" t="s">
        <v>22</v>
      </c>
      <c r="K18" t="s">
        <v>22</v>
      </c>
      <c r="L18" t="s">
        <v>22</v>
      </c>
    </row>
    <row r="19">
      <c r="A19" t="s">
        <v>18</v>
      </c>
      <c r="B19" t="s">
        <v>3</v>
      </c>
      <c r="C19" t="s">
        <v>65</v>
      </c>
      <c r="D19"/>
      <c r="E19" t="n">
        <v>163.102857953423</v>
      </c>
      <c r="F19" t="n">
        <v>9.18201352595103</v>
      </c>
      <c r="G19" t="n">
        <v>45.5322778839605</v>
      </c>
      <c r="H19" t="s">
        <v>66</v>
      </c>
      <c r="I19" s="1" t="str">
        <f>HYPERLINK("https://www.google.com/maps/@?api=1&amp;map_action=pano&amp;viewpoint=45.5322778839605,9.18201352595103","Open GSV")</f>
      </c>
      <c r="J19" t="s">
        <v>22</v>
      </c>
      <c r="K19" t="s">
        <v>22</v>
      </c>
      <c r="L19" t="s">
        <v>22</v>
      </c>
    </row>
    <row r="20">
      <c r="A20" t="s">
        <v>18</v>
      </c>
      <c r="B20" t="s">
        <v>3</v>
      </c>
      <c r="C20" t="s">
        <v>67</v>
      </c>
      <c r="D20"/>
      <c r="E20" t="n">
        <v>466.43123802017</v>
      </c>
      <c r="F20" t="n">
        <v>9.17964960964012</v>
      </c>
      <c r="G20" t="n">
        <v>45.5314650459148</v>
      </c>
      <c r="H20" t="s">
        <v>68</v>
      </c>
      <c r="I20" s="1" t="str">
        <f>HYPERLINK("https://www.google.com/maps/@?api=1&amp;map_action=pano&amp;viewpoint=45.5314650459148,9.17964960964012","Open GSV")</f>
      </c>
      <c r="J20" t="s">
        <v>22</v>
      </c>
      <c r="K20" t="s">
        <v>22</v>
      </c>
      <c r="L20" t="s">
        <v>22</v>
      </c>
    </row>
    <row r="21">
      <c r="A21" t="s">
        <v>18</v>
      </c>
      <c r="B21" t="s">
        <v>3</v>
      </c>
      <c r="C21" t="s">
        <v>69</v>
      </c>
      <c r="D21"/>
      <c r="E21" t="n">
        <v>148.988767448562</v>
      </c>
      <c r="F21" t="n">
        <v>9.18065125329631</v>
      </c>
      <c r="G21" t="n">
        <v>45.5314655547931</v>
      </c>
      <c r="H21" t="s">
        <v>70</v>
      </c>
      <c r="I21" s="1" t="str">
        <f>HYPERLINK("https://www.google.com/maps/@?api=1&amp;map_action=pano&amp;viewpoint=45.5314655547931,9.18065125329631","Open GSV")</f>
      </c>
      <c r="J21" t="s">
        <v>22</v>
      </c>
      <c r="K21" t="s">
        <v>22</v>
      </c>
      <c r="L21" t="s">
        <v>22</v>
      </c>
    </row>
    <row r="22">
      <c r="A22" t="s">
        <v>18</v>
      </c>
      <c r="B22" t="s">
        <v>3</v>
      </c>
      <c r="C22" t="s">
        <v>71</v>
      </c>
      <c r="D22"/>
      <c r="E22" t="n">
        <v>87.4189518956573</v>
      </c>
      <c r="F22" t="n">
        <v>9.183928800453</v>
      </c>
      <c r="G22" t="n">
        <v>45.5299899513526</v>
      </c>
      <c r="H22" t="s">
        <v>72</v>
      </c>
      <c r="I22" s="1" t="str">
        <f>HYPERLINK("https://www.google.com/maps/@?api=1&amp;map_action=pano&amp;viewpoint=45.5299899513526,9.183928800453","Open GSV")</f>
      </c>
      <c r="J22" t="s">
        <v>22</v>
      </c>
      <c r="K22" t="s">
        <v>22</v>
      </c>
      <c r="L22" t="s">
        <v>22</v>
      </c>
    </row>
    <row r="23">
      <c r="A23" t="s">
        <v>18</v>
      </c>
      <c r="B23" t="s">
        <v>3</v>
      </c>
      <c r="C23" t="s">
        <v>73</v>
      </c>
      <c r="D23"/>
      <c r="E23" t="n">
        <v>93.6816986134118</v>
      </c>
      <c r="F23" t="n">
        <v>9.18301874993097</v>
      </c>
      <c r="G23" t="n">
        <v>45.529450032949</v>
      </c>
      <c r="H23" t="s">
        <v>74</v>
      </c>
      <c r="I23" s="1" t="str">
        <f>HYPERLINK("https://www.google.com/maps/@?api=1&amp;map_action=pano&amp;viewpoint=45.529450032949,9.18301874993097","Open GSV")</f>
      </c>
      <c r="J23" t="s">
        <v>22</v>
      </c>
      <c r="K23" t="s">
        <v>22</v>
      </c>
      <c r="L23" t="s">
        <v>22</v>
      </c>
    </row>
    <row r="24">
      <c r="A24" t="s">
        <v>18</v>
      </c>
      <c r="B24" t="s">
        <v>3</v>
      </c>
      <c r="C24" t="s">
        <v>75</v>
      </c>
      <c r="D24"/>
      <c r="E24" t="n">
        <v>94.5864999749261</v>
      </c>
      <c r="F24" t="n">
        <v>9.18008686178289</v>
      </c>
      <c r="G24" t="n">
        <v>45.5297321410217</v>
      </c>
      <c r="H24" t="s">
        <v>76</v>
      </c>
      <c r="I24" s="1" t="str">
        <f>HYPERLINK("https://www.google.com/maps/@?api=1&amp;map_action=pano&amp;viewpoint=45.5297321410217,9.18008686178289","Open GSV")</f>
      </c>
      <c r="J24" t="s">
        <v>22</v>
      </c>
      <c r="K24" t="s">
        <v>22</v>
      </c>
      <c r="L24" t="s">
        <v>22</v>
      </c>
    </row>
    <row r="25">
      <c r="A25" t="s">
        <v>18</v>
      </c>
      <c r="B25" t="s">
        <v>3</v>
      </c>
      <c r="C25" t="s">
        <v>77</v>
      </c>
      <c r="D25"/>
      <c r="E25" t="n">
        <v>338.405418587872</v>
      </c>
      <c r="F25" t="n">
        <v>9.18223808585977</v>
      </c>
      <c r="G25" t="n">
        <v>45.5295496086549</v>
      </c>
      <c r="H25" t="s">
        <v>78</v>
      </c>
      <c r="I25" s="1" t="str">
        <f>HYPERLINK("https://www.google.com/maps/@?api=1&amp;map_action=pano&amp;viewpoint=45.5295496086549,9.18223808585977","Open GSV")</f>
      </c>
      <c r="J25" t="s">
        <v>22</v>
      </c>
      <c r="K25" t="s">
        <v>22</v>
      </c>
      <c r="L25" t="s">
        <v>22</v>
      </c>
    </row>
    <row r="26">
      <c r="A26" t="s">
        <v>18</v>
      </c>
      <c r="B26" t="s">
        <v>3</v>
      </c>
      <c r="C26" t="s">
        <v>79</v>
      </c>
      <c r="D26"/>
      <c r="E26" t="n">
        <v>338.191906044159</v>
      </c>
      <c r="F26" t="n">
        <v>9.18195282160938</v>
      </c>
      <c r="G26" t="n">
        <v>45.5319566377292</v>
      </c>
      <c r="H26" t="s">
        <v>80</v>
      </c>
      <c r="I26" s="1" t="str">
        <f>HYPERLINK("https://www.google.com/maps/@?api=1&amp;map_action=pano&amp;viewpoint=45.5319566377292,9.18195282160938","Open GSV")</f>
      </c>
      <c r="J26" t="s">
        <v>22</v>
      </c>
      <c r="K26" t="s">
        <v>22</v>
      </c>
      <c r="L26" t="s">
        <v>22</v>
      </c>
    </row>
    <row r="27">
      <c r="A27" t="s">
        <v>18</v>
      </c>
      <c r="B27" t="s">
        <v>3</v>
      </c>
      <c r="C27" t="s">
        <v>81</v>
      </c>
      <c r="D27"/>
      <c r="E27" t="n">
        <v>445.490969671211</v>
      </c>
      <c r="F27" t="n">
        <v>9.18175470027875</v>
      </c>
      <c r="G27" t="n">
        <v>45.5307770956447</v>
      </c>
      <c r="H27" t="s">
        <v>82</v>
      </c>
      <c r="I27" s="1" t="str">
        <f>HYPERLINK("https://www.google.com/maps/@?api=1&amp;map_action=pano&amp;viewpoint=45.5307770956447,9.18175470027875","Open GSV")</f>
      </c>
      <c r="J27" t="s">
        <v>22</v>
      </c>
      <c r="K27" t="s">
        <v>22</v>
      </c>
      <c r="L27" t="s">
        <v>22</v>
      </c>
    </row>
    <row r="28">
      <c r="A28" t="s">
        <v>18</v>
      </c>
      <c r="B28" t="s">
        <v>3</v>
      </c>
      <c r="C28" t="s">
        <v>83</v>
      </c>
      <c r="D28" t="s">
        <v>84</v>
      </c>
      <c r="E28" t="n">
        <v>62.1846170725035</v>
      </c>
      <c r="F28" t="n">
        <v>9.22813307499656</v>
      </c>
      <c r="G28" t="n">
        <v>45.4780890350359</v>
      </c>
      <c r="H28" t="s">
        <v>85</v>
      </c>
      <c r="I28" s="1" t="str">
        <f>HYPERLINK("https://www.google.com/maps/@?api=1&amp;map_action=pano&amp;viewpoint=45.4780890350359,9.22813307499656","Open GSV")</f>
      </c>
      <c r="J28" t="s">
        <v>22</v>
      </c>
      <c r="K28" t="s">
        <v>22</v>
      </c>
      <c r="L28" t="s">
        <v>22</v>
      </c>
    </row>
    <row r="29">
      <c r="A29" t="s">
        <v>18</v>
      </c>
      <c r="B29" t="s">
        <v>3</v>
      </c>
      <c r="C29" t="s">
        <v>86</v>
      </c>
      <c r="D29" t="s">
        <v>24</v>
      </c>
      <c r="E29" t="n">
        <v>103.60819953278</v>
      </c>
      <c r="F29" t="n">
        <v>9.19135947851444</v>
      </c>
      <c r="G29" t="n">
        <v>45.4651443121606</v>
      </c>
      <c r="H29" t="s">
        <v>87</v>
      </c>
      <c r="I29" s="1" t="str">
        <f>HYPERLINK("https://www.google.com/maps/@?api=1&amp;map_action=pano&amp;viewpoint=45.4651443121606,9.19135947851444","Open GSV")</f>
      </c>
      <c r="J29" t="s">
        <v>22</v>
      </c>
      <c r="K29" t="s">
        <v>22</v>
      </c>
      <c r="L29" t="s">
        <v>22</v>
      </c>
    </row>
    <row r="30">
      <c r="A30" t="s">
        <v>18</v>
      </c>
      <c r="B30" t="s">
        <v>3</v>
      </c>
      <c r="C30" t="s">
        <v>88</v>
      </c>
      <c r="D30" t="s">
        <v>89</v>
      </c>
      <c r="E30" t="n">
        <v>1668.75000466415</v>
      </c>
      <c r="F30" t="n">
        <v>9.12934008252157</v>
      </c>
      <c r="G30" t="n">
        <v>45.4412346555463</v>
      </c>
      <c r="H30" t="s">
        <v>90</v>
      </c>
      <c r="I30" s="1" t="str">
        <f>HYPERLINK("https://www.google.com/maps/@?api=1&amp;map_action=pano&amp;viewpoint=45.4412346555463,9.12934008252157","Open GSV")</f>
      </c>
      <c r="J30" t="s">
        <v>22</v>
      </c>
      <c r="K30" t="s">
        <v>22</v>
      </c>
      <c r="L30" t="s">
        <v>22</v>
      </c>
    </row>
    <row r="31">
      <c r="A31" t="s">
        <v>18</v>
      </c>
      <c r="B31" t="s">
        <v>3</v>
      </c>
      <c r="C31" t="s">
        <v>91</v>
      </c>
      <c r="D31"/>
      <c r="E31" t="n">
        <v>233.186748569264</v>
      </c>
      <c r="F31" t="n">
        <v>9.18165044766044</v>
      </c>
      <c r="G31" t="n">
        <v>45.5301392465324</v>
      </c>
      <c r="H31" t="s">
        <v>92</v>
      </c>
      <c r="I31" s="1" t="str">
        <f>HYPERLINK("https://www.google.com/maps/@?api=1&amp;map_action=pano&amp;viewpoint=45.5301392465324,9.18165044766044","Open GSV")</f>
      </c>
      <c r="J31" t="s">
        <v>22</v>
      </c>
      <c r="K31" t="s">
        <v>22</v>
      </c>
      <c r="L31" t="s">
        <v>22</v>
      </c>
    </row>
    <row r="32">
      <c r="A32" t="s">
        <v>18</v>
      </c>
      <c r="B32" t="s">
        <v>3</v>
      </c>
      <c r="C32" t="s">
        <v>93</v>
      </c>
      <c r="D32"/>
      <c r="E32" t="n">
        <v>231.412154429609</v>
      </c>
      <c r="F32" t="n">
        <v>9.18149238578049</v>
      </c>
      <c r="G32" t="n">
        <v>45.5292234968716</v>
      </c>
      <c r="H32" t="s">
        <v>94</v>
      </c>
      <c r="I32" s="1" t="str">
        <f>HYPERLINK("https://www.google.com/maps/@?api=1&amp;map_action=pano&amp;viewpoint=45.5292234968716,9.18149238578049","Open GSV")</f>
      </c>
      <c r="J32" t="s">
        <v>22</v>
      </c>
      <c r="K32" t="s">
        <v>22</v>
      </c>
      <c r="L32" t="s">
        <v>22</v>
      </c>
    </row>
    <row r="33">
      <c r="A33" t="s">
        <v>18</v>
      </c>
      <c r="B33" t="s">
        <v>3</v>
      </c>
      <c r="C33" t="s">
        <v>95</v>
      </c>
      <c r="D33"/>
      <c r="E33" t="n">
        <v>52.5325890816845</v>
      </c>
      <c r="F33" t="n">
        <v>9.18040532581568</v>
      </c>
      <c r="G33" t="n">
        <v>45.5302875773076</v>
      </c>
      <c r="H33" t="s">
        <v>96</v>
      </c>
      <c r="I33" s="1" t="str">
        <f>HYPERLINK("https://www.google.com/maps/@?api=1&amp;map_action=pano&amp;viewpoint=45.5302875773076,9.18040532581568","Open GSV")</f>
      </c>
      <c r="J33" t="s">
        <v>22</v>
      </c>
      <c r="K33" t="s">
        <v>22</v>
      </c>
      <c r="L33" t="s">
        <v>22</v>
      </c>
    </row>
    <row r="34">
      <c r="A34" t="s">
        <v>18</v>
      </c>
      <c r="B34" t="s">
        <v>3</v>
      </c>
      <c r="C34" t="s">
        <v>97</v>
      </c>
      <c r="D34"/>
      <c r="E34" t="n">
        <v>61.6387279351068</v>
      </c>
      <c r="F34" t="n">
        <v>9.18337249276312</v>
      </c>
      <c r="G34" t="n">
        <v>45.5300271704695</v>
      </c>
      <c r="H34" t="s">
        <v>98</v>
      </c>
      <c r="I34" s="1" t="str">
        <f>HYPERLINK("https://www.google.com/maps/@?api=1&amp;map_action=pano&amp;viewpoint=45.5300271704695,9.18337249276312","Open GSV")</f>
      </c>
      <c r="J34" t="s">
        <v>22</v>
      </c>
      <c r="K34" t="s">
        <v>22</v>
      </c>
      <c r="L34" t="s">
        <v>22</v>
      </c>
    </row>
    <row r="35">
      <c r="A35" t="s">
        <v>18</v>
      </c>
      <c r="B35" t="s">
        <v>3</v>
      </c>
      <c r="C35" t="s">
        <v>99</v>
      </c>
      <c r="D35" t="s">
        <v>100</v>
      </c>
      <c r="E35" t="n">
        <v>61.3382239234104</v>
      </c>
      <c r="F35" t="n">
        <v>9.18992923505539</v>
      </c>
      <c r="G35" t="n">
        <v>45.462985178458</v>
      </c>
      <c r="H35" t="s">
        <v>101</v>
      </c>
      <c r="I35" s="1" t="str">
        <f>HYPERLINK("https://www.google.com/maps/@?api=1&amp;map_action=pano&amp;viewpoint=45.462985178458,9.18992923505539","Open GSV")</f>
      </c>
      <c r="J35" t="s">
        <v>22</v>
      </c>
      <c r="K35" t="s">
        <v>22</v>
      </c>
      <c r="L35" t="s">
        <v>22</v>
      </c>
    </row>
    <row r="36">
      <c r="A36" t="s">
        <v>18</v>
      </c>
      <c r="B36" t="s">
        <v>3</v>
      </c>
      <c r="C36" t="s">
        <v>102</v>
      </c>
      <c r="D36" t="s">
        <v>33</v>
      </c>
      <c r="E36" t="n">
        <v>200.013536163051</v>
      </c>
      <c r="F36" t="n">
        <v>9.25363075737409</v>
      </c>
      <c r="G36" t="n">
        <v>45.495917031012</v>
      </c>
      <c r="H36" t="s">
        <v>103</v>
      </c>
      <c r="I36" s="1" t="str">
        <f>HYPERLINK("https://www.google.com/maps/@?api=1&amp;map_action=pano&amp;viewpoint=45.495917031012,9.25363075737409","Open GSV")</f>
      </c>
      <c r="J36" t="s">
        <v>22</v>
      </c>
      <c r="K36" t="s">
        <v>22</v>
      </c>
      <c r="L36" t="s">
        <v>22</v>
      </c>
    </row>
    <row r="37">
      <c r="A37" t="s">
        <v>18</v>
      </c>
      <c r="B37" t="s">
        <v>3</v>
      </c>
      <c r="C37" t="s">
        <v>104</v>
      </c>
      <c r="D37" t="s">
        <v>39</v>
      </c>
      <c r="E37" t="n">
        <v>105.963533220702</v>
      </c>
      <c r="F37" t="n">
        <v>9.20663054716429</v>
      </c>
      <c r="G37" t="n">
        <v>45.4754966511444</v>
      </c>
      <c r="H37" t="s">
        <v>105</v>
      </c>
      <c r="I37" s="1" t="str">
        <f>HYPERLINK("https://www.google.com/maps/@?api=1&amp;map_action=pano&amp;viewpoint=45.4754966511444,9.20663054716429","Open GSV")</f>
      </c>
      <c r="J37" t="s">
        <v>22</v>
      </c>
      <c r="K37" t="s">
        <v>22</v>
      </c>
      <c r="L37" t="s">
        <v>22</v>
      </c>
    </row>
    <row r="38">
      <c r="A38" t="s">
        <v>18</v>
      </c>
      <c r="B38" t="s">
        <v>3</v>
      </c>
      <c r="C38" t="s">
        <v>106</v>
      </c>
      <c r="D38" t="s">
        <v>107</v>
      </c>
      <c r="E38" t="n">
        <v>76.4946056131499</v>
      </c>
      <c r="F38" t="n">
        <v>9.18602101282431</v>
      </c>
      <c r="G38" t="n">
        <v>45.4702528620521</v>
      </c>
      <c r="H38" t="s">
        <v>108</v>
      </c>
      <c r="I38" s="1" t="str">
        <f>HYPERLINK("https://www.google.com/maps/@?api=1&amp;map_action=pano&amp;viewpoint=45.4702528620521,9.18602101282431","Open GSV")</f>
      </c>
      <c r="J38" t="s">
        <v>22</v>
      </c>
      <c r="K38" t="s">
        <v>22</v>
      </c>
      <c r="L38" t="s">
        <v>22</v>
      </c>
    </row>
    <row r="39">
      <c r="A39" t="s">
        <v>18</v>
      </c>
      <c r="B39" t="s">
        <v>3</v>
      </c>
      <c r="C39" t="s">
        <v>109</v>
      </c>
      <c r="D39" t="s">
        <v>27</v>
      </c>
      <c r="E39" t="n">
        <v>130.82478292795</v>
      </c>
      <c r="F39" t="n">
        <v>9.19203621207668</v>
      </c>
      <c r="G39" t="n">
        <v>45.4652157628765</v>
      </c>
      <c r="H39" t="s">
        <v>110</v>
      </c>
      <c r="I39" s="1" t="str">
        <f>HYPERLINK("https://www.google.com/maps/@?api=1&amp;map_action=pano&amp;viewpoint=45.4652157628765,9.19203621207668","Open GSV")</f>
      </c>
      <c r="J39" t="s">
        <v>22</v>
      </c>
      <c r="K39" t="s">
        <v>22</v>
      </c>
      <c r="L39" t="s">
        <v>22</v>
      </c>
    </row>
    <row r="40">
      <c r="A40" t="s">
        <v>18</v>
      </c>
      <c r="B40" t="s">
        <v>3</v>
      </c>
      <c r="C40" t="s">
        <v>111</v>
      </c>
      <c r="D40" t="s">
        <v>112</v>
      </c>
      <c r="E40" t="n">
        <v>67.2471225509325</v>
      </c>
      <c r="F40" t="n">
        <v>9.17353234976692</v>
      </c>
      <c r="G40" t="n">
        <v>45.4811942008021</v>
      </c>
      <c r="H40" t="s">
        <v>113</v>
      </c>
      <c r="I40" s="1" t="str">
        <f>HYPERLINK("https://www.google.com/maps/@?api=1&amp;map_action=pano&amp;viewpoint=45.4811942008021,9.17353234976692","Open GSV")</f>
      </c>
      <c r="J40" t="s">
        <v>22</v>
      </c>
      <c r="K40" t="s">
        <v>22</v>
      </c>
      <c r="L40" t="s">
        <v>22</v>
      </c>
    </row>
    <row r="41">
      <c r="A41" t="s">
        <v>18</v>
      </c>
      <c r="B41" t="s">
        <v>3</v>
      </c>
      <c r="C41" t="s">
        <v>114</v>
      </c>
      <c r="D41" t="s">
        <v>112</v>
      </c>
      <c r="E41" t="n">
        <v>59.2065809237538</v>
      </c>
      <c r="F41" t="n">
        <v>9.17433696962667</v>
      </c>
      <c r="G41" t="n">
        <v>45.4812534332859</v>
      </c>
      <c r="H41" t="s">
        <v>115</v>
      </c>
      <c r="I41" s="1" t="str">
        <f>HYPERLINK("https://www.google.com/maps/@?api=1&amp;map_action=pano&amp;viewpoint=45.4812534332859,9.17433696962667","Open GSV")</f>
      </c>
      <c r="J41" t="s">
        <v>22</v>
      </c>
      <c r="K41" t="s">
        <v>22</v>
      </c>
      <c r="L41" t="s">
        <v>22</v>
      </c>
    </row>
    <row r="42">
      <c r="A42" t="s">
        <v>18</v>
      </c>
      <c r="B42" t="s">
        <v>3</v>
      </c>
      <c r="C42" t="s">
        <v>116</v>
      </c>
      <c r="D42" t="s">
        <v>112</v>
      </c>
      <c r="E42" t="n">
        <v>139.012314731689</v>
      </c>
      <c r="F42" t="n">
        <v>9.17131964894257</v>
      </c>
      <c r="G42" t="n">
        <v>45.4810279534229</v>
      </c>
      <c r="H42" t="s">
        <v>117</v>
      </c>
      <c r="I42" s="1" t="str">
        <f>HYPERLINK("https://www.google.com/maps/@?api=1&amp;map_action=pano&amp;viewpoint=45.4810279534229,9.17131964894257","Open GSV")</f>
      </c>
      <c r="J42" t="s">
        <v>22</v>
      </c>
      <c r="K42" t="s">
        <v>22</v>
      </c>
      <c r="L42" t="s">
        <v>22</v>
      </c>
    </row>
    <row r="43">
      <c r="A43" t="s">
        <v>18</v>
      </c>
      <c r="B43" t="s">
        <v>3</v>
      </c>
      <c r="C43" t="s">
        <v>118</v>
      </c>
      <c r="D43" t="s">
        <v>119</v>
      </c>
      <c r="E43" t="n">
        <v>49.5334980464153</v>
      </c>
      <c r="F43" t="n">
        <v>9.15449704937544</v>
      </c>
      <c r="G43" t="n">
        <v>45.4933380502329</v>
      </c>
      <c r="H43" t="s">
        <v>120</v>
      </c>
      <c r="I43" s="1" t="str">
        <f>HYPERLINK("https://www.google.com/maps/@?api=1&amp;map_action=pano&amp;viewpoint=45.4933380502329,9.15449704937544","Open GSV")</f>
      </c>
      <c r="J43" t="s">
        <v>22</v>
      </c>
      <c r="K43" t="s">
        <v>22</v>
      </c>
      <c r="L43" t="s">
        <v>22</v>
      </c>
    </row>
    <row r="44">
      <c r="A44" t="s">
        <v>18</v>
      </c>
      <c r="B44" t="s">
        <v>3</v>
      </c>
      <c r="C44" t="s">
        <v>121</v>
      </c>
      <c r="D44" t="s">
        <v>122</v>
      </c>
      <c r="E44" t="n">
        <v>89.7469857722534</v>
      </c>
      <c r="F44" t="n">
        <v>9.22402272293317</v>
      </c>
      <c r="G44" t="n">
        <v>45.470490800146</v>
      </c>
      <c r="H44" t="s">
        <v>123</v>
      </c>
      <c r="I44" s="1" t="str">
        <f>HYPERLINK("https://www.google.com/maps/@?api=1&amp;map_action=pano&amp;viewpoint=45.470490800146,9.22402272293317","Open GSV")</f>
      </c>
      <c r="J44" t="s">
        <v>22</v>
      </c>
      <c r="K44" t="s">
        <v>22</v>
      </c>
      <c r="L44" t="s">
        <v>22</v>
      </c>
    </row>
    <row r="45">
      <c r="A45" t="s">
        <v>18</v>
      </c>
      <c r="B45" t="s">
        <v>3</v>
      </c>
      <c r="C45" t="s">
        <v>124</v>
      </c>
      <c r="D45" t="s">
        <v>125</v>
      </c>
      <c r="E45" t="n">
        <v>83.347501762842</v>
      </c>
      <c r="F45" t="n">
        <v>9.1884129537083</v>
      </c>
      <c r="G45" t="n">
        <v>45.4494006325648</v>
      </c>
      <c r="H45" t="s">
        <v>126</v>
      </c>
      <c r="I45" s="1" t="str">
        <f>HYPERLINK("https://www.google.com/maps/@?api=1&amp;map_action=pano&amp;viewpoint=45.4494006325648,9.1884129537083","Open GSV")</f>
      </c>
      <c r="J45" t="s">
        <v>22</v>
      </c>
      <c r="K45" t="s">
        <v>22</v>
      </c>
      <c r="L45" t="s">
        <v>22</v>
      </c>
    </row>
    <row r="46">
      <c r="A46" t="s">
        <v>18</v>
      </c>
      <c r="B46" t="s">
        <v>3</v>
      </c>
      <c r="C46" t="s">
        <v>127</v>
      </c>
      <c r="D46" t="s">
        <v>125</v>
      </c>
      <c r="E46" t="n">
        <v>29.56711961953</v>
      </c>
      <c r="F46" t="n">
        <v>9.18911923993339</v>
      </c>
      <c r="G46" t="n">
        <v>45.4492837840629</v>
      </c>
      <c r="H46" t="s">
        <v>128</v>
      </c>
      <c r="I46" s="1" t="str">
        <f>HYPERLINK("https://www.google.com/maps/@?api=1&amp;map_action=pano&amp;viewpoint=45.4492837840629,9.18911923993339","Open GSV")</f>
      </c>
      <c r="J46" t="s">
        <v>22</v>
      </c>
      <c r="K46" t="s">
        <v>22</v>
      </c>
      <c r="L46" t="s">
        <v>22</v>
      </c>
    </row>
    <row r="47">
      <c r="A47" t="s">
        <v>18</v>
      </c>
      <c r="B47" t="s">
        <v>3</v>
      </c>
      <c r="C47" t="s">
        <v>129</v>
      </c>
      <c r="D47" t="s">
        <v>130</v>
      </c>
      <c r="E47" t="n">
        <v>16.551075030526</v>
      </c>
      <c r="F47" t="n">
        <v>9.17222975003314</v>
      </c>
      <c r="G47" t="n">
        <v>45.4810240000034</v>
      </c>
      <c r="H47" t="s">
        <v>131</v>
      </c>
      <c r="I47" s="1" t="str">
        <f>HYPERLINK("https://www.google.com/maps/@?api=1&amp;map_action=pano&amp;viewpoint=45.4810240000034,9.17222975003314","Open GSV")</f>
      </c>
      <c r="J47" t="s">
        <v>22</v>
      </c>
      <c r="K47" t="s">
        <v>22</v>
      </c>
      <c r="L47" t="s">
        <v>22</v>
      </c>
    </row>
    <row r="48">
      <c r="A48" t="s">
        <v>18</v>
      </c>
      <c r="B48" t="s">
        <v>3</v>
      </c>
      <c r="C48" t="s">
        <v>132</v>
      </c>
      <c r="D48" t="s">
        <v>133</v>
      </c>
      <c r="E48" t="n">
        <v>252.178572216977</v>
      </c>
      <c r="F48" t="n">
        <v>9.25678704081955</v>
      </c>
      <c r="G48" t="n">
        <v>45.5176968251045</v>
      </c>
      <c r="H48" t="s">
        <v>134</v>
      </c>
      <c r="I48" s="1" t="str">
        <f>HYPERLINK("https://www.google.com/maps/@?api=1&amp;map_action=pano&amp;viewpoint=45.5176968251045,9.25678704081955","Open GSV")</f>
      </c>
      <c r="J48" t="s">
        <v>22</v>
      </c>
      <c r="K48" t="s">
        <v>22</v>
      </c>
      <c r="L48" t="s">
        <v>22</v>
      </c>
    </row>
    <row r="49">
      <c r="A49" t="s">
        <v>18</v>
      </c>
      <c r="B49" t="s">
        <v>3</v>
      </c>
      <c r="C49" t="s">
        <v>135</v>
      </c>
      <c r="D49" t="s">
        <v>133</v>
      </c>
      <c r="E49" t="n">
        <v>339.73050459274</v>
      </c>
      <c r="F49" t="n">
        <v>9.25555275834963</v>
      </c>
      <c r="G49" t="n">
        <v>45.5152637330444</v>
      </c>
      <c r="H49" t="s">
        <v>136</v>
      </c>
      <c r="I49" s="1" t="str">
        <f>HYPERLINK("https://www.google.com/maps/@?api=1&amp;map_action=pano&amp;viewpoint=45.5152637330444,9.25555275834963","Open GSV")</f>
      </c>
      <c r="J49" t="s">
        <v>22</v>
      </c>
      <c r="K49" t="s">
        <v>22</v>
      </c>
      <c r="L49" t="s">
        <v>22</v>
      </c>
    </row>
    <row r="50">
      <c r="A50" t="s">
        <v>18</v>
      </c>
      <c r="B50" t="s">
        <v>3</v>
      </c>
      <c r="C50" t="s">
        <v>137</v>
      </c>
      <c r="D50" t="s">
        <v>138</v>
      </c>
      <c r="E50" t="n">
        <v>117.124369930993</v>
      </c>
      <c r="F50" t="n">
        <v>9.24821564481595</v>
      </c>
      <c r="G50" t="n">
        <v>45.5154555719955</v>
      </c>
      <c r="H50" t="s">
        <v>139</v>
      </c>
      <c r="I50" s="1" t="str">
        <f>HYPERLINK("https://www.google.com/maps/@?api=1&amp;map_action=pano&amp;viewpoint=45.5154555719955,9.24821564481595","Open GSV")</f>
      </c>
      <c r="J50" t="s">
        <v>22</v>
      </c>
      <c r="K50" t="s">
        <v>22</v>
      </c>
      <c r="L50" t="s">
        <v>22</v>
      </c>
    </row>
    <row r="51">
      <c r="A51" t="s">
        <v>18</v>
      </c>
      <c r="B51" t="s">
        <v>3</v>
      </c>
      <c r="C51" t="s">
        <v>140</v>
      </c>
      <c r="D51" t="s">
        <v>133</v>
      </c>
      <c r="E51" t="n">
        <v>310.889080390344</v>
      </c>
      <c r="F51" t="n">
        <v>9.25422141599068</v>
      </c>
      <c r="G51" t="n">
        <v>45.5127953871245</v>
      </c>
      <c r="H51" t="s">
        <v>141</v>
      </c>
      <c r="I51" s="1" t="str">
        <f>HYPERLINK("https://www.google.com/maps/@?api=1&amp;map_action=pano&amp;viewpoint=45.5127953871245,9.25422141599068","Open GSV")</f>
      </c>
      <c r="J51" t="s">
        <v>22</v>
      </c>
      <c r="K51" t="s">
        <v>22</v>
      </c>
      <c r="L51" t="s">
        <v>22</v>
      </c>
    </row>
    <row r="52">
      <c r="A52" t="s">
        <v>18</v>
      </c>
      <c r="B52" t="s">
        <v>4</v>
      </c>
      <c r="C52" t="s">
        <v>142</v>
      </c>
      <c r="D52" t="s">
        <v>143</v>
      </c>
      <c r="E52" t="n">
        <v>48.2007855064736</v>
      </c>
      <c r="F52" t="n">
        <v>9.16956093649931</v>
      </c>
      <c r="G52" t="n">
        <v>45.4608438077615</v>
      </c>
      <c r="H52" t="s">
        <v>144</v>
      </c>
      <c r="I52" s="1" t="str">
        <f>HYPERLINK("https://www.google.com/maps/@?api=1&amp;map_action=pano&amp;viewpoint=45.4608438077615,9.16956093649931","Open GSV")</f>
      </c>
      <c r="J52" t="s">
        <v>22</v>
      </c>
      <c r="K52" t="s">
        <v>22</v>
      </c>
      <c r="L52" t="s">
        <v>22</v>
      </c>
    </row>
    <row r="53">
      <c r="A53" t="s">
        <v>18</v>
      </c>
      <c r="B53" t="s">
        <v>4</v>
      </c>
      <c r="C53" t="s">
        <v>145</v>
      </c>
      <c r="D53" t="s">
        <v>146</v>
      </c>
      <c r="E53" t="n">
        <v>55.402860717107</v>
      </c>
      <c r="F53" t="n">
        <v>9.17147034421265</v>
      </c>
      <c r="G53" t="n">
        <v>45.50117194431</v>
      </c>
      <c r="H53" t="s">
        <v>147</v>
      </c>
      <c r="I53" s="1" t="str">
        <f>HYPERLINK("https://www.google.com/maps/@?api=1&amp;map_action=pano&amp;viewpoint=45.50117194431,9.17147034421265","Open GSV")</f>
      </c>
      <c r="J53" t="s">
        <v>22</v>
      </c>
      <c r="K53" t="s">
        <v>22</v>
      </c>
      <c r="L53" t="s">
        <v>22</v>
      </c>
    </row>
    <row r="54">
      <c r="A54" t="s">
        <v>18</v>
      </c>
      <c r="B54" t="s">
        <v>4</v>
      </c>
      <c r="C54" t="s">
        <v>148</v>
      </c>
      <c r="D54" t="s">
        <v>149</v>
      </c>
      <c r="E54" t="n">
        <v>38.0231997242661</v>
      </c>
      <c r="F54" t="n">
        <v>9.19361068596544</v>
      </c>
      <c r="G54" t="n">
        <v>45.5062212536379</v>
      </c>
      <c r="H54" t="s">
        <v>150</v>
      </c>
      <c r="I54" s="1" t="str">
        <f>HYPERLINK("https://www.google.com/maps/@?api=1&amp;map_action=pano&amp;viewpoint=45.5062212536379,9.19361068596544","Open GSV")</f>
      </c>
      <c r="J54" t="s">
        <v>22</v>
      </c>
      <c r="K54" t="s">
        <v>22</v>
      </c>
      <c r="L54" t="s">
        <v>22</v>
      </c>
    </row>
    <row r="55">
      <c r="A55" t="s">
        <v>18</v>
      </c>
      <c r="B55" t="s">
        <v>4</v>
      </c>
      <c r="C55" t="s">
        <v>151</v>
      </c>
      <c r="D55" t="s">
        <v>152</v>
      </c>
      <c r="E55" t="n">
        <v>83.7667175975498</v>
      </c>
      <c r="F55" t="n">
        <v>9.20044144685747</v>
      </c>
      <c r="G55" t="n">
        <v>45.5076455073902</v>
      </c>
      <c r="H55" t="s">
        <v>153</v>
      </c>
      <c r="I55" s="1" t="str">
        <f>HYPERLINK("https://www.google.com/maps/@?api=1&amp;map_action=pano&amp;viewpoint=45.5076455073902,9.20044144685747","Open GSV")</f>
      </c>
      <c r="J55" t="s">
        <v>22</v>
      </c>
      <c r="K55" t="s">
        <v>22</v>
      </c>
      <c r="L55" t="s">
        <v>22</v>
      </c>
    </row>
    <row r="56">
      <c r="A56" t="s">
        <v>18</v>
      </c>
      <c r="B56" t="s">
        <v>4</v>
      </c>
      <c r="C56" t="s">
        <v>154</v>
      </c>
      <c r="D56" t="s">
        <v>155</v>
      </c>
      <c r="E56" t="n">
        <v>35.8788925332856</v>
      </c>
      <c r="F56" t="n">
        <v>9.19452192878493</v>
      </c>
      <c r="G56" t="n">
        <v>45.5065366289204</v>
      </c>
      <c r="H56" t="s">
        <v>156</v>
      </c>
      <c r="I56" s="1" t="str">
        <f>HYPERLINK("https://www.google.com/maps/@?api=1&amp;map_action=pano&amp;viewpoint=45.5065366289204,9.19452192878493","Open GSV")</f>
      </c>
      <c r="J56" t="s">
        <v>22</v>
      </c>
      <c r="K56" t="s">
        <v>22</v>
      </c>
      <c r="L56" t="s">
        <v>22</v>
      </c>
    </row>
    <row r="57">
      <c r="A57" t="s">
        <v>18</v>
      </c>
      <c r="B57" t="s">
        <v>4</v>
      </c>
      <c r="C57" t="s">
        <v>157</v>
      </c>
      <c r="D57" t="s">
        <v>158</v>
      </c>
      <c r="E57" t="n">
        <v>113.761031822524</v>
      </c>
      <c r="F57" t="n">
        <v>9.19459481470672</v>
      </c>
      <c r="G57" t="n">
        <v>45.5071324369625</v>
      </c>
      <c r="H57" t="s">
        <v>159</v>
      </c>
      <c r="I57" s="1" t="str">
        <f>HYPERLINK("https://www.google.com/maps/@?api=1&amp;map_action=pano&amp;viewpoint=45.5071324369625,9.19459481470672","Open GSV")</f>
      </c>
      <c r="J57" t="s">
        <v>22</v>
      </c>
      <c r="K57" t="s">
        <v>22</v>
      </c>
      <c r="L57" t="s">
        <v>22</v>
      </c>
    </row>
    <row r="58">
      <c r="A58" t="s">
        <v>18</v>
      </c>
      <c r="B58" t="s">
        <v>4</v>
      </c>
      <c r="C58" t="s">
        <v>160</v>
      </c>
      <c r="D58" t="s">
        <v>161</v>
      </c>
      <c r="E58" t="n">
        <v>101.604783942646</v>
      </c>
      <c r="F58" t="n">
        <v>9.17719218865828</v>
      </c>
      <c r="G58" t="n">
        <v>45.5099406703201</v>
      </c>
      <c r="H58" t="s">
        <v>162</v>
      </c>
      <c r="I58" s="1" t="str">
        <f>HYPERLINK("https://www.google.com/maps/@?api=1&amp;map_action=pano&amp;viewpoint=45.5099406703201,9.17719218865828","Open GSV")</f>
      </c>
      <c r="J58" t="s">
        <v>22</v>
      </c>
      <c r="K58" t="s">
        <v>22</v>
      </c>
      <c r="L58" t="s">
        <v>22</v>
      </c>
    </row>
    <row r="59">
      <c r="A59" t="s">
        <v>18</v>
      </c>
      <c r="B59" t="s">
        <v>4</v>
      </c>
      <c r="C59" t="s">
        <v>163</v>
      </c>
      <c r="D59" t="s">
        <v>164</v>
      </c>
      <c r="E59" t="n">
        <v>26.4278038096888</v>
      </c>
      <c r="F59" t="n">
        <v>9.23254424995098</v>
      </c>
      <c r="G59" t="n">
        <v>45.4973361001229</v>
      </c>
      <c r="H59" t="s">
        <v>165</v>
      </c>
      <c r="I59" s="1" t="str">
        <f>HYPERLINK("https://www.google.com/maps/@?api=1&amp;map_action=pano&amp;viewpoint=45.4973361001229,9.23254424995098","Open GSV")</f>
      </c>
      <c r="J59" t="s">
        <v>22</v>
      </c>
      <c r="K59" t="s">
        <v>22</v>
      </c>
      <c r="L59" t="s">
        <v>22</v>
      </c>
    </row>
    <row r="60">
      <c r="A60" t="s">
        <v>18</v>
      </c>
      <c r="B60" t="s">
        <v>4</v>
      </c>
      <c r="C60" t="s">
        <v>166</v>
      </c>
      <c r="D60" t="s">
        <v>167</v>
      </c>
      <c r="E60" t="n">
        <v>28.3701224611009</v>
      </c>
      <c r="F60" t="n">
        <v>9.23263287602045</v>
      </c>
      <c r="G60" t="n">
        <v>45.4972384885833</v>
      </c>
      <c r="H60" t="s">
        <v>168</v>
      </c>
      <c r="I60" s="1" t="str">
        <f>HYPERLINK("https://www.google.com/maps/@?api=1&amp;map_action=pano&amp;viewpoint=45.4972384885833,9.23263287602045","Open GSV")</f>
      </c>
      <c r="J60" t="s">
        <v>22</v>
      </c>
      <c r="K60" t="s">
        <v>22</v>
      </c>
      <c r="L60" t="s">
        <v>22</v>
      </c>
    </row>
    <row r="61">
      <c r="A61" t="s">
        <v>18</v>
      </c>
      <c r="B61" t="s">
        <v>4</v>
      </c>
      <c r="C61" t="s">
        <v>169</v>
      </c>
      <c r="D61" t="s">
        <v>170</v>
      </c>
      <c r="E61" t="n">
        <v>22.0536180339019</v>
      </c>
      <c r="F61" t="n">
        <v>9.23423432296104</v>
      </c>
      <c r="G61" t="n">
        <v>45.4976091251659</v>
      </c>
      <c r="H61" t="s">
        <v>171</v>
      </c>
      <c r="I61" s="1" t="str">
        <f>HYPERLINK("https://www.google.com/maps/@?api=1&amp;map_action=pano&amp;viewpoint=45.4976091251659,9.23423432296104","Open GSV")</f>
      </c>
      <c r="J61" t="s">
        <v>22</v>
      </c>
      <c r="K61" t="s">
        <v>22</v>
      </c>
      <c r="L61" t="s">
        <v>22</v>
      </c>
    </row>
    <row r="62">
      <c r="A62" t="s">
        <v>18</v>
      </c>
      <c r="B62" t="s">
        <v>4</v>
      </c>
      <c r="C62" t="s">
        <v>172</v>
      </c>
      <c r="D62" t="s">
        <v>173</v>
      </c>
      <c r="E62" t="n">
        <v>119.83231784298</v>
      </c>
      <c r="F62" t="n">
        <v>9.23175298089834</v>
      </c>
      <c r="G62" t="n">
        <v>45.4982928723126</v>
      </c>
      <c r="H62" t="s">
        <v>174</v>
      </c>
      <c r="I62" s="1" t="str">
        <f>HYPERLINK("https://www.google.com/maps/@?api=1&amp;map_action=pano&amp;viewpoint=45.4982928723126,9.23175298089834","Open GSV")</f>
      </c>
      <c r="J62" t="s">
        <v>22</v>
      </c>
      <c r="K62" t="s">
        <v>22</v>
      </c>
      <c r="L62" t="s">
        <v>22</v>
      </c>
    </row>
    <row r="63">
      <c r="A63" t="s">
        <v>18</v>
      </c>
      <c r="B63" t="s">
        <v>4</v>
      </c>
      <c r="C63" t="s">
        <v>175</v>
      </c>
      <c r="D63" t="s">
        <v>176</v>
      </c>
      <c r="E63" t="n">
        <v>206.803575961502</v>
      </c>
      <c r="F63" t="n">
        <v>9.20138901700718</v>
      </c>
      <c r="G63" t="n">
        <v>45.5062465166122</v>
      </c>
      <c r="H63" t="s">
        <v>177</v>
      </c>
      <c r="I63" s="1" t="str">
        <f>HYPERLINK("https://www.google.com/maps/@?api=1&amp;map_action=pano&amp;viewpoint=45.5062465166122,9.20138901700718","Open GSV")</f>
      </c>
      <c r="J63" t="s">
        <v>22</v>
      </c>
      <c r="K63" t="s">
        <v>22</v>
      </c>
      <c r="L63" t="s">
        <v>22</v>
      </c>
    </row>
    <row r="64">
      <c r="A64" t="s">
        <v>18</v>
      </c>
      <c r="B64" t="s">
        <v>4</v>
      </c>
      <c r="C64" t="s">
        <v>178</v>
      </c>
      <c r="D64" t="s">
        <v>179</v>
      </c>
      <c r="E64" t="n">
        <v>31.3603101410164</v>
      </c>
      <c r="F64" t="n">
        <v>9.17532415560957</v>
      </c>
      <c r="G64" t="n">
        <v>45.5041863889971</v>
      </c>
      <c r="H64" t="s">
        <v>180</v>
      </c>
      <c r="I64" s="1" t="str">
        <f>HYPERLINK("https://www.google.com/maps/@?api=1&amp;map_action=pano&amp;viewpoint=45.5041863889971,9.17532415560957","Open GSV")</f>
      </c>
      <c r="J64" t="s">
        <v>22</v>
      </c>
      <c r="K64" t="s">
        <v>22</v>
      </c>
      <c r="L64" t="s">
        <v>22</v>
      </c>
    </row>
    <row r="65">
      <c r="A65" t="s">
        <v>18</v>
      </c>
      <c r="B65" t="s">
        <v>4</v>
      </c>
      <c r="C65" t="s">
        <v>181</v>
      </c>
      <c r="D65" t="s">
        <v>182</v>
      </c>
      <c r="E65" t="n">
        <v>95.0557956651596</v>
      </c>
      <c r="F65" t="n">
        <v>9.17314409383001</v>
      </c>
      <c r="G65" t="n">
        <v>45.5075439823704</v>
      </c>
      <c r="H65" t="s">
        <v>183</v>
      </c>
      <c r="I65" s="1" t="str">
        <f>HYPERLINK("https://www.google.com/maps/@?api=1&amp;map_action=pano&amp;viewpoint=45.5075439823704,9.17314409383001","Open GSV")</f>
      </c>
      <c r="J65" t="s">
        <v>22</v>
      </c>
      <c r="K65" t="s">
        <v>22</v>
      </c>
      <c r="L65" t="s">
        <v>22</v>
      </c>
    </row>
    <row r="66">
      <c r="A66" t="s">
        <v>18</v>
      </c>
      <c r="B66" t="s">
        <v>4</v>
      </c>
      <c r="C66" t="s">
        <v>184</v>
      </c>
      <c r="D66" t="s">
        <v>185</v>
      </c>
      <c r="E66" t="n">
        <v>104.116771827505</v>
      </c>
      <c r="F66" t="n">
        <v>9.16942316447234</v>
      </c>
      <c r="G66" t="n">
        <v>45.4602100714994</v>
      </c>
      <c r="H66" t="s">
        <v>186</v>
      </c>
      <c r="I66" s="1" t="str">
        <f>HYPERLINK("https://www.google.com/maps/@?api=1&amp;map_action=pano&amp;viewpoint=45.4602100714994,9.16942316447234","Open GSV")</f>
      </c>
      <c r="J66" t="s">
        <v>22</v>
      </c>
      <c r="K66" t="s">
        <v>22</v>
      </c>
      <c r="L66" t="s">
        <v>22</v>
      </c>
    </row>
    <row r="67">
      <c r="A67" t="s">
        <v>18</v>
      </c>
      <c r="B67" t="s">
        <v>4</v>
      </c>
      <c r="C67" t="s">
        <v>187</v>
      </c>
      <c r="D67"/>
      <c r="E67" t="n">
        <v>45.4574997298451</v>
      </c>
      <c r="F67" t="n">
        <v>9.16723577278782</v>
      </c>
      <c r="G67" t="n">
        <v>45.4582760631241</v>
      </c>
      <c r="H67" t="s">
        <v>188</v>
      </c>
      <c r="I67" s="1" t="str">
        <f>HYPERLINK("https://www.google.com/maps/@?api=1&amp;map_action=pano&amp;viewpoint=45.4582760631241,9.16723577278782","Open GSV")</f>
      </c>
      <c r="J67" t="s">
        <v>22</v>
      </c>
      <c r="K67" t="s">
        <v>22</v>
      </c>
      <c r="L67" t="s">
        <v>22</v>
      </c>
    </row>
    <row r="68">
      <c r="A68" t="s">
        <v>18</v>
      </c>
      <c r="B68" t="s">
        <v>4</v>
      </c>
      <c r="C68" t="s">
        <v>189</v>
      </c>
      <c r="D68" t="s">
        <v>158</v>
      </c>
      <c r="E68" t="n">
        <v>110.234234371396</v>
      </c>
      <c r="F68" t="n">
        <v>9.19493149393702</v>
      </c>
      <c r="G68" t="n">
        <v>45.5070683467823</v>
      </c>
      <c r="H68" t="s">
        <v>190</v>
      </c>
      <c r="I68" s="1" t="str">
        <f>HYPERLINK("https://www.google.com/maps/@?api=1&amp;map_action=pano&amp;viewpoint=45.5070683467823,9.19493149393702","Open GSV")</f>
      </c>
      <c r="J68" t="s">
        <v>22</v>
      </c>
      <c r="K68" t="s">
        <v>22</v>
      </c>
      <c r="L68" t="s">
        <v>22</v>
      </c>
    </row>
    <row r="69">
      <c r="A69" t="s">
        <v>18</v>
      </c>
      <c r="B69" t="s">
        <v>4</v>
      </c>
      <c r="C69" t="s">
        <v>191</v>
      </c>
      <c r="D69" t="s">
        <v>192</v>
      </c>
      <c r="E69" t="n">
        <v>102.389862862179</v>
      </c>
      <c r="F69" t="n">
        <v>9.19346357210543</v>
      </c>
      <c r="G69" t="n">
        <v>45.5068604584875</v>
      </c>
      <c r="H69" t="s">
        <v>193</v>
      </c>
      <c r="I69" s="1" t="str">
        <f>HYPERLINK("https://www.google.com/maps/@?api=1&amp;map_action=pano&amp;viewpoint=45.5068604584875,9.19346357210543","Open GSV")</f>
      </c>
      <c r="J69" t="s">
        <v>22</v>
      </c>
      <c r="K69" t="s">
        <v>22</v>
      </c>
      <c r="L69" t="s">
        <v>22</v>
      </c>
    </row>
    <row r="70">
      <c r="A70" t="s">
        <v>18</v>
      </c>
      <c r="B70" t="s">
        <v>4</v>
      </c>
      <c r="C70" t="s">
        <v>194</v>
      </c>
      <c r="D70" t="s">
        <v>192</v>
      </c>
      <c r="E70" t="n">
        <v>22.4282182109993</v>
      </c>
      <c r="F70" t="n">
        <v>9.1942209810211</v>
      </c>
      <c r="G70" t="n">
        <v>45.5066817788023</v>
      </c>
      <c r="H70" t="s">
        <v>195</v>
      </c>
      <c r="I70" s="1" t="str">
        <f>HYPERLINK("https://www.google.com/maps/@?api=1&amp;map_action=pano&amp;viewpoint=45.5066817788023,9.1942209810211","Open GSV")</f>
      </c>
      <c r="J70" t="s">
        <v>22</v>
      </c>
      <c r="K70" t="s">
        <v>22</v>
      </c>
      <c r="L70" t="s">
        <v>22</v>
      </c>
    </row>
    <row r="71">
      <c r="A71" t="s">
        <v>18</v>
      </c>
      <c r="B71" t="s">
        <v>4</v>
      </c>
      <c r="C71" t="s">
        <v>196</v>
      </c>
      <c r="D71" t="s">
        <v>149</v>
      </c>
      <c r="E71" t="n">
        <v>56.2732079280401</v>
      </c>
      <c r="F71" t="n">
        <v>9.19396904049392</v>
      </c>
      <c r="G71" t="n">
        <v>45.5064736522135</v>
      </c>
      <c r="H71" t="s">
        <v>197</v>
      </c>
      <c r="I71" s="1" t="str">
        <f>HYPERLINK("https://www.google.com/maps/@?api=1&amp;map_action=pano&amp;viewpoint=45.5064736522135,9.19396904049392","Open GSV")</f>
      </c>
      <c r="J71" t="s">
        <v>22</v>
      </c>
      <c r="K71" t="s">
        <v>22</v>
      </c>
      <c r="L71" t="s">
        <v>22</v>
      </c>
    </row>
    <row r="72">
      <c r="A72" t="s">
        <v>18</v>
      </c>
      <c r="B72" t="s">
        <v>4</v>
      </c>
      <c r="C72" t="s">
        <v>198</v>
      </c>
      <c r="D72" t="s">
        <v>199</v>
      </c>
      <c r="E72" t="n">
        <v>65.5766205938007</v>
      </c>
      <c r="F72" t="n">
        <v>9.20241165339069</v>
      </c>
      <c r="G72" t="n">
        <v>45.508151604348</v>
      </c>
      <c r="H72" t="s">
        <v>200</v>
      </c>
      <c r="I72" s="1" t="str">
        <f>HYPERLINK("https://www.google.com/maps/@?api=1&amp;map_action=pano&amp;viewpoint=45.508151604348,9.20241165339069","Open GSV")</f>
      </c>
      <c r="J72" t="s">
        <v>22</v>
      </c>
      <c r="K72" t="s">
        <v>22</v>
      </c>
      <c r="L72" t="s">
        <v>22</v>
      </c>
    </row>
    <row r="73">
      <c r="A73" t="s">
        <v>18</v>
      </c>
      <c r="B73" t="s">
        <v>4</v>
      </c>
      <c r="C73" t="s">
        <v>201</v>
      </c>
      <c r="D73" t="s">
        <v>199</v>
      </c>
      <c r="E73" t="n">
        <v>66.6224315354032</v>
      </c>
      <c r="F73" t="n">
        <v>9.20317407961577</v>
      </c>
      <c r="G73" t="n">
        <v>45.5078935396854</v>
      </c>
      <c r="H73" t="s">
        <v>202</v>
      </c>
      <c r="I73" s="1" t="str">
        <f>HYPERLINK("https://www.google.com/maps/@?api=1&amp;map_action=pano&amp;viewpoint=45.5078935396854,9.20317407961577","Open GSV")</f>
      </c>
      <c r="J73" t="s">
        <v>22</v>
      </c>
      <c r="K73" t="s">
        <v>22</v>
      </c>
      <c r="L73" t="s">
        <v>22</v>
      </c>
    </row>
    <row r="74">
      <c r="A74" t="s">
        <v>18</v>
      </c>
      <c r="B74" t="s">
        <v>4</v>
      </c>
      <c r="C74" t="s">
        <v>203</v>
      </c>
      <c r="D74" t="s">
        <v>199</v>
      </c>
      <c r="E74" t="n">
        <v>48.7182529293842</v>
      </c>
      <c r="F74" t="n">
        <v>9.20383900600056</v>
      </c>
      <c r="G74" t="n">
        <v>45.5076679883373</v>
      </c>
      <c r="H74" t="s">
        <v>204</v>
      </c>
      <c r="I74" s="1" t="str">
        <f>HYPERLINK("https://www.google.com/maps/@?api=1&amp;map_action=pano&amp;viewpoint=45.5076679883373,9.20383900600056","Open GSV")</f>
      </c>
      <c r="J74" t="s">
        <v>22</v>
      </c>
      <c r="K74" t="s">
        <v>22</v>
      </c>
      <c r="L74" t="s">
        <v>22</v>
      </c>
    </row>
    <row r="75">
      <c r="A75" t="s">
        <v>18</v>
      </c>
      <c r="B75" t="s">
        <v>4</v>
      </c>
      <c r="C75" t="s">
        <v>205</v>
      </c>
      <c r="D75" t="s">
        <v>149</v>
      </c>
      <c r="E75" t="n">
        <v>23.8767801734009</v>
      </c>
      <c r="F75" t="n">
        <v>9.19334261743802</v>
      </c>
      <c r="G75" t="n">
        <v>45.5060716791337</v>
      </c>
      <c r="H75" t="s">
        <v>206</v>
      </c>
      <c r="I75" s="1" t="str">
        <f>HYPERLINK("https://www.google.com/maps/@?api=1&amp;map_action=pano&amp;viewpoint=45.5060716791337,9.19334261743802","Open GSV")</f>
      </c>
      <c r="J75" t="s">
        <v>22</v>
      </c>
      <c r="K75" t="s">
        <v>22</v>
      </c>
      <c r="L75" t="s">
        <v>22</v>
      </c>
    </row>
    <row r="76">
      <c r="A76" t="s">
        <v>18</v>
      </c>
      <c r="B76" t="s">
        <v>4</v>
      </c>
      <c r="C76" t="s">
        <v>207</v>
      </c>
      <c r="D76" t="s">
        <v>208</v>
      </c>
      <c r="E76" t="n">
        <v>78.5095877732599</v>
      </c>
      <c r="F76" t="n">
        <v>9.18830162249288</v>
      </c>
      <c r="G76" t="n">
        <v>45.4873765146973</v>
      </c>
      <c r="H76" t="s">
        <v>209</v>
      </c>
      <c r="I76" s="1" t="str">
        <f>HYPERLINK("https://www.google.com/maps/@?api=1&amp;map_action=pano&amp;viewpoint=45.4873765146973,9.18830162249288","Open GSV")</f>
      </c>
      <c r="J76" t="s">
        <v>22</v>
      </c>
      <c r="K76" t="s">
        <v>22</v>
      </c>
      <c r="L76" t="s">
        <v>22</v>
      </c>
    </row>
    <row r="77">
      <c r="A77" t="s">
        <v>18</v>
      </c>
      <c r="B77" t="s">
        <v>4</v>
      </c>
      <c r="C77" t="s">
        <v>210</v>
      </c>
      <c r="D77" t="s">
        <v>211</v>
      </c>
      <c r="E77" t="n">
        <v>108.884040553244</v>
      </c>
      <c r="F77" t="n">
        <v>9.18866011656774</v>
      </c>
      <c r="G77" t="n">
        <v>45.4868397430762</v>
      </c>
      <c r="H77" t="s">
        <v>212</v>
      </c>
      <c r="I77" s="1" t="str">
        <f>HYPERLINK("https://www.google.com/maps/@?api=1&amp;map_action=pano&amp;viewpoint=45.4868397430762,9.18866011656774","Open GSV")</f>
      </c>
      <c r="J77" t="s">
        <v>22</v>
      </c>
      <c r="K77" t="s">
        <v>22</v>
      </c>
      <c r="L77" t="s">
        <v>22</v>
      </c>
    </row>
    <row r="78">
      <c r="A78" t="s">
        <v>18</v>
      </c>
      <c r="B78" t="s">
        <v>4</v>
      </c>
      <c r="C78" t="s">
        <v>213</v>
      </c>
      <c r="D78" t="s">
        <v>214</v>
      </c>
      <c r="E78" t="n">
        <v>177.049745681266</v>
      </c>
      <c r="F78" t="n">
        <v>9.22052446805917</v>
      </c>
      <c r="G78" t="n">
        <v>45.4947678914839</v>
      </c>
      <c r="H78" t="s">
        <v>215</v>
      </c>
      <c r="I78" s="1" t="str">
        <f>HYPERLINK("https://www.google.com/maps/@?api=1&amp;map_action=pano&amp;viewpoint=45.4947678914839,9.22052446805917","Open GSV")</f>
      </c>
      <c r="J78" t="s">
        <v>22</v>
      </c>
      <c r="K78" t="s">
        <v>22</v>
      </c>
      <c r="L78" t="s">
        <v>22</v>
      </c>
    </row>
    <row r="79">
      <c r="A79" t="s">
        <v>18</v>
      </c>
      <c r="B79" t="s">
        <v>4</v>
      </c>
      <c r="C79" t="s">
        <v>216</v>
      </c>
      <c r="D79" t="s">
        <v>164</v>
      </c>
      <c r="E79" t="n">
        <v>120.953805954345</v>
      </c>
      <c r="F79" t="n">
        <v>9.23347743454582</v>
      </c>
      <c r="G79" t="n">
        <v>45.4974323661664</v>
      </c>
      <c r="H79" t="s">
        <v>217</v>
      </c>
      <c r="I79" s="1" t="str">
        <f>HYPERLINK("https://www.google.com/maps/@?api=1&amp;map_action=pano&amp;viewpoint=45.4974323661664,9.23347743454582","Open GSV")</f>
      </c>
      <c r="J79" t="s">
        <v>22</v>
      </c>
      <c r="K79" t="s">
        <v>22</v>
      </c>
      <c r="L79" t="s">
        <v>22</v>
      </c>
    </row>
    <row r="80">
      <c r="A80" t="s">
        <v>18</v>
      </c>
      <c r="B80" t="s">
        <v>4</v>
      </c>
      <c r="C80" t="s">
        <v>218</v>
      </c>
      <c r="D80" t="s">
        <v>164</v>
      </c>
      <c r="E80" t="n">
        <v>35.5424523217464</v>
      </c>
      <c r="F80" t="n">
        <v>9.23446904935301</v>
      </c>
      <c r="G80" t="n">
        <v>45.4975308470368</v>
      </c>
      <c r="H80" t="s">
        <v>219</v>
      </c>
      <c r="I80" s="1" t="str">
        <f>HYPERLINK("https://www.google.com/maps/@?api=1&amp;map_action=pano&amp;viewpoint=45.4975308470368,9.23446904935301","Open GSV")</f>
      </c>
      <c r="J80" t="s">
        <v>22</v>
      </c>
      <c r="K80" t="s">
        <v>22</v>
      </c>
      <c r="L80" t="s">
        <v>22</v>
      </c>
    </row>
    <row r="81">
      <c r="A81" t="s">
        <v>18</v>
      </c>
      <c r="B81" t="s">
        <v>4</v>
      </c>
      <c r="C81" t="s">
        <v>220</v>
      </c>
      <c r="D81" t="s">
        <v>149</v>
      </c>
      <c r="E81" t="n">
        <v>34.0541876511342</v>
      </c>
      <c r="F81" t="n">
        <v>9.19347028693603</v>
      </c>
      <c r="G81" t="n">
        <v>45.5058554590041</v>
      </c>
      <c r="H81" t="s">
        <v>221</v>
      </c>
      <c r="I81" s="1" t="str">
        <f>HYPERLINK("https://www.google.com/maps/@?api=1&amp;map_action=pano&amp;viewpoint=45.5058554590041,9.19347028693603","Open GSV")</f>
      </c>
      <c r="J81" t="s">
        <v>22</v>
      </c>
      <c r="K81" t="s">
        <v>22</v>
      </c>
      <c r="L81" t="s">
        <v>22</v>
      </c>
    </row>
    <row r="82">
      <c r="A82" t="s">
        <v>18</v>
      </c>
      <c r="B82" t="s">
        <v>5</v>
      </c>
      <c r="C82" t="s">
        <v>222</v>
      </c>
      <c r="D82" t="s">
        <v>223</v>
      </c>
      <c r="E82" t="n">
        <v>80.1972910242012</v>
      </c>
      <c r="F82" t="n">
        <v>9.13829052432655</v>
      </c>
      <c r="G82" t="n">
        <v>45.5076350404018</v>
      </c>
      <c r="H82" t="s">
        <v>224</v>
      </c>
      <c r="I82" s="1" t="str">
        <f>HYPERLINK("https://www.google.com/maps/@?api=1&amp;map_action=pano&amp;viewpoint=45.5076350404018,9.13829052432655","Open GSV")</f>
      </c>
      <c r="J82" t="s">
        <v>22</v>
      </c>
      <c r="K82" t="s">
        <v>22</v>
      </c>
      <c r="L82" t="s">
        <v>22</v>
      </c>
    </row>
    <row r="83">
      <c r="A83" t="s">
        <v>18</v>
      </c>
      <c r="B83" t="s">
        <v>5</v>
      </c>
      <c r="C83" t="s">
        <v>225</v>
      </c>
      <c r="D83" t="s">
        <v>226</v>
      </c>
      <c r="E83" t="n">
        <v>16.3840077274187</v>
      </c>
      <c r="F83" t="n">
        <v>9.23570351487691</v>
      </c>
      <c r="G83" t="n">
        <v>45.4851902002222</v>
      </c>
      <c r="H83" t="s">
        <v>227</v>
      </c>
      <c r="I83" s="1" t="str">
        <f>HYPERLINK("https://www.google.com/maps/@?api=1&amp;map_action=pano&amp;viewpoint=45.4851902002222,9.23570351487691","Open GSV")</f>
      </c>
      <c r="J83" t="s">
        <v>22</v>
      </c>
      <c r="K83" t="s">
        <v>22</v>
      </c>
      <c r="L83" t="s">
        <v>22</v>
      </c>
    </row>
    <row r="84">
      <c r="A84" t="s">
        <v>18</v>
      </c>
      <c r="B84" t="s">
        <v>5</v>
      </c>
      <c r="C84" t="s">
        <v>228</v>
      </c>
      <c r="D84" t="s">
        <v>229</v>
      </c>
      <c r="E84" t="n">
        <v>55.8227282875649</v>
      </c>
      <c r="F84" t="n">
        <v>9.26414796025196</v>
      </c>
      <c r="G84" t="n">
        <v>45.5137178170413</v>
      </c>
      <c r="H84" t="s">
        <v>230</v>
      </c>
      <c r="I84" s="1" t="str">
        <f>HYPERLINK("https://www.google.com/maps/@?api=1&amp;map_action=pano&amp;viewpoint=45.5137178170413,9.26414796025196","Open GSV")</f>
      </c>
      <c r="J84" t="s">
        <v>22</v>
      </c>
      <c r="K84" t="s">
        <v>22</v>
      </c>
      <c r="L84" t="s">
        <v>22</v>
      </c>
    </row>
    <row r="85">
      <c r="A85" t="s">
        <v>18</v>
      </c>
      <c r="B85" t="s">
        <v>5</v>
      </c>
      <c r="C85" t="s">
        <v>231</v>
      </c>
      <c r="D85" t="s">
        <v>232</v>
      </c>
      <c r="E85" t="n">
        <v>34.119947567274</v>
      </c>
      <c r="F85" t="n">
        <v>9.26095226330416</v>
      </c>
      <c r="G85" t="n">
        <v>45.5124258614047</v>
      </c>
      <c r="H85" t="s">
        <v>233</v>
      </c>
      <c r="I85" s="1" t="str">
        <f>HYPERLINK("https://www.google.com/maps/@?api=1&amp;map_action=pano&amp;viewpoint=45.5124258614047,9.26095226330416","Open GSV")</f>
      </c>
      <c r="J85" t="s">
        <v>22</v>
      </c>
      <c r="K85" t="s">
        <v>22</v>
      </c>
      <c r="L85" t="s">
        <v>22</v>
      </c>
    </row>
    <row r="86">
      <c r="A86" t="s">
        <v>18</v>
      </c>
      <c r="B86" t="s">
        <v>5</v>
      </c>
      <c r="C86" t="s">
        <v>234</v>
      </c>
      <c r="D86" t="s">
        <v>235</v>
      </c>
      <c r="E86" t="n">
        <v>157.883015560241</v>
      </c>
      <c r="F86" t="n">
        <v>9.17180816750032</v>
      </c>
      <c r="G86" t="n">
        <v>45.4389681869381</v>
      </c>
      <c r="H86" t="s">
        <v>236</v>
      </c>
      <c r="I86" s="1" t="str">
        <f>HYPERLINK("https://www.google.com/maps/@?api=1&amp;map_action=pano&amp;viewpoint=45.4389681869381,9.17180816750032","Open GSV")</f>
      </c>
      <c r="J86" t="s">
        <v>22</v>
      </c>
      <c r="K86" t="s">
        <v>22</v>
      </c>
      <c r="L86" t="s">
        <v>22</v>
      </c>
    </row>
    <row r="87">
      <c r="A87" t="s">
        <v>18</v>
      </c>
      <c r="B87" t="s">
        <v>5</v>
      </c>
      <c r="C87" t="s">
        <v>237</v>
      </c>
      <c r="D87" t="s">
        <v>238</v>
      </c>
      <c r="E87" t="n">
        <v>58.4738966718107</v>
      </c>
      <c r="F87" t="n">
        <v>9.1196322658142</v>
      </c>
      <c r="G87" t="n">
        <v>45.5015889813092</v>
      </c>
      <c r="H87" t="s">
        <v>239</v>
      </c>
      <c r="I87" s="1" t="str">
        <f>HYPERLINK("https://www.google.com/maps/@?api=1&amp;map_action=pano&amp;viewpoint=45.5015889813092,9.1196322658142","Open GSV")</f>
      </c>
      <c r="J87" t="s">
        <v>22</v>
      </c>
      <c r="K87" t="s">
        <v>22</v>
      </c>
      <c r="L87" t="s">
        <v>22</v>
      </c>
    </row>
    <row r="88">
      <c r="A88" t="s">
        <v>18</v>
      </c>
      <c r="B88" t="s">
        <v>5</v>
      </c>
      <c r="C88" t="s">
        <v>240</v>
      </c>
      <c r="D88" t="s">
        <v>238</v>
      </c>
      <c r="E88" t="n">
        <v>53.3558601393968</v>
      </c>
      <c r="F88" t="n">
        <v>9.10921320841679</v>
      </c>
      <c r="G88" t="n">
        <v>45.5039616982682</v>
      </c>
      <c r="H88" t="s">
        <v>241</v>
      </c>
      <c r="I88" s="1" t="str">
        <f>HYPERLINK("https://www.google.com/maps/@?api=1&amp;map_action=pano&amp;viewpoint=45.5039616982682,9.10921320841679","Open GSV")</f>
      </c>
      <c r="J88" t="s">
        <v>22</v>
      </c>
      <c r="K88" t="s">
        <v>22</v>
      </c>
      <c r="L88" t="s">
        <v>22</v>
      </c>
    </row>
    <row r="89">
      <c r="A89" t="s">
        <v>18</v>
      </c>
      <c r="B89" t="s">
        <v>5</v>
      </c>
      <c r="C89" t="s">
        <v>242</v>
      </c>
      <c r="D89" t="s">
        <v>238</v>
      </c>
      <c r="E89" t="n">
        <v>194.285401243623</v>
      </c>
      <c r="F89" t="n">
        <v>9.11285866310736</v>
      </c>
      <c r="G89" t="n">
        <v>45.5030688805958</v>
      </c>
      <c r="H89" t="s">
        <v>243</v>
      </c>
      <c r="I89" s="1" t="str">
        <f>HYPERLINK("https://www.google.com/maps/@?api=1&amp;map_action=pano&amp;viewpoint=45.5030688805958,9.11285866310736","Open GSV")</f>
      </c>
      <c r="J89" t="s">
        <v>22</v>
      </c>
      <c r="K89" t="s">
        <v>22</v>
      </c>
      <c r="L89" t="s">
        <v>22</v>
      </c>
    </row>
    <row r="90">
      <c r="A90" t="s">
        <v>18</v>
      </c>
      <c r="B90" t="s">
        <v>5</v>
      </c>
      <c r="C90" t="s">
        <v>244</v>
      </c>
      <c r="D90" t="s">
        <v>238</v>
      </c>
      <c r="E90" t="n">
        <v>179.21095578624</v>
      </c>
      <c r="F90" t="n">
        <v>9.11652681888276</v>
      </c>
      <c r="G90" t="n">
        <v>45.5022005717216</v>
      </c>
      <c r="H90" t="s">
        <v>245</v>
      </c>
      <c r="I90" s="1" t="str">
        <f>HYPERLINK("https://www.google.com/maps/@?api=1&amp;map_action=pano&amp;viewpoint=45.5022005717216,9.11652681888276","Open GSV")</f>
      </c>
      <c r="J90" t="s">
        <v>22</v>
      </c>
      <c r="K90" t="s">
        <v>22</v>
      </c>
      <c r="L90" t="s">
        <v>22</v>
      </c>
    </row>
    <row r="91">
      <c r="A91" t="s">
        <v>18</v>
      </c>
      <c r="B91" t="s">
        <v>5</v>
      </c>
      <c r="C91" t="s">
        <v>246</v>
      </c>
      <c r="D91" t="s">
        <v>238</v>
      </c>
      <c r="E91" t="n">
        <v>93.7170894547106</v>
      </c>
      <c r="F91" t="n">
        <v>9.11461464078457</v>
      </c>
      <c r="G91" t="n">
        <v>45.5027208793852</v>
      </c>
      <c r="H91" t="s">
        <v>247</v>
      </c>
      <c r="I91" s="1" t="str">
        <f>HYPERLINK("https://www.google.com/maps/@?api=1&amp;map_action=pano&amp;viewpoint=45.5027208793852,9.11461464078457","Open GSV")</f>
      </c>
      <c r="J91" t="s">
        <v>22</v>
      </c>
      <c r="K91" t="s">
        <v>22</v>
      </c>
      <c r="L91" t="s">
        <v>22</v>
      </c>
    </row>
    <row r="92">
      <c r="A92" t="s">
        <v>18</v>
      </c>
      <c r="B92" t="s">
        <v>5</v>
      </c>
      <c r="C92" t="s">
        <v>248</v>
      </c>
      <c r="D92" t="s">
        <v>226</v>
      </c>
      <c r="E92" t="n">
        <v>15.7185944122253</v>
      </c>
      <c r="F92" t="n">
        <v>9.23676002861519</v>
      </c>
      <c r="G92" t="n">
        <v>45.4844909347315</v>
      </c>
      <c r="H92" t="s">
        <v>249</v>
      </c>
      <c r="I92" s="1" t="str">
        <f>HYPERLINK("https://www.google.com/maps/@?api=1&amp;map_action=pano&amp;viewpoint=45.4844909347315,9.23676002861519","Open GSV")</f>
      </c>
      <c r="J92" t="s">
        <v>22</v>
      </c>
      <c r="K92" t="s">
        <v>22</v>
      </c>
      <c r="L92" t="s">
        <v>22</v>
      </c>
    </row>
    <row r="93">
      <c r="A93" t="s">
        <v>18</v>
      </c>
      <c r="B93" t="s">
        <v>5</v>
      </c>
      <c r="C93" t="s">
        <v>250</v>
      </c>
      <c r="D93" t="s">
        <v>251</v>
      </c>
      <c r="E93" t="n">
        <v>18.1594615286375</v>
      </c>
      <c r="F93" t="n">
        <v>9.21074563583137</v>
      </c>
      <c r="G93" t="n">
        <v>45.5067336663017</v>
      </c>
      <c r="H93" t="s">
        <v>252</v>
      </c>
      <c r="I93" s="1" t="str">
        <f>HYPERLINK("https://www.google.com/maps/@?api=1&amp;map_action=pano&amp;viewpoint=45.5067336663017,9.21074563583137","Open GSV")</f>
      </c>
      <c r="J93" t="s">
        <v>22</v>
      </c>
      <c r="K93" t="s">
        <v>22</v>
      </c>
      <c r="L93" t="s">
        <v>22</v>
      </c>
    </row>
    <row r="94">
      <c r="A94" t="s">
        <v>18</v>
      </c>
      <c r="B94" t="s">
        <v>5</v>
      </c>
      <c r="C94" t="s">
        <v>253</v>
      </c>
      <c r="D94" t="s">
        <v>238</v>
      </c>
      <c r="E94" t="n">
        <v>145.233253454126</v>
      </c>
      <c r="F94" t="n">
        <v>9.09977536673109</v>
      </c>
      <c r="G94" t="n">
        <v>45.5063618362704</v>
      </c>
      <c r="H94" t="s">
        <v>254</v>
      </c>
      <c r="I94" s="1" t="str">
        <f>HYPERLINK("https://www.google.com/maps/@?api=1&amp;map_action=pano&amp;viewpoint=45.5063618362704,9.09977536673109","Open GSV")</f>
      </c>
      <c r="J94" t="s">
        <v>22</v>
      </c>
      <c r="K94" t="s">
        <v>22</v>
      </c>
      <c r="L94" t="s">
        <v>22</v>
      </c>
    </row>
    <row r="95">
      <c r="A95" t="s">
        <v>18</v>
      </c>
      <c r="B95" t="s">
        <v>5</v>
      </c>
      <c r="C95" t="s">
        <v>255</v>
      </c>
      <c r="D95" t="s">
        <v>238</v>
      </c>
      <c r="E95" t="n">
        <v>177.365123165419</v>
      </c>
      <c r="F95" t="n">
        <v>9.09956109213609</v>
      </c>
      <c r="G95" t="n">
        <v>45.506324377035</v>
      </c>
      <c r="H95" t="s">
        <v>256</v>
      </c>
      <c r="I95" s="1" t="str">
        <f>HYPERLINK("https://www.google.com/maps/@?api=1&amp;map_action=pano&amp;viewpoint=45.506324377035,9.09956109213609","Open GSV")</f>
      </c>
      <c r="J95" t="s">
        <v>22</v>
      </c>
      <c r="K95" t="s">
        <v>22</v>
      </c>
      <c r="L95" t="s">
        <v>22</v>
      </c>
    </row>
    <row r="96">
      <c r="A96" t="s">
        <v>18</v>
      </c>
      <c r="B96" t="s">
        <v>5</v>
      </c>
      <c r="C96" t="s">
        <v>257</v>
      </c>
      <c r="D96" t="s">
        <v>258</v>
      </c>
      <c r="E96" t="n">
        <v>28.6617613718027</v>
      </c>
      <c r="F96" t="n">
        <v>9.25937352019244</v>
      </c>
      <c r="G96" t="n">
        <v>45.5136316353374</v>
      </c>
      <c r="H96" t="s">
        <v>259</v>
      </c>
      <c r="I96" s="1" t="str">
        <f>HYPERLINK("https://www.google.com/maps/@?api=1&amp;map_action=pano&amp;viewpoint=45.5136316353374,9.25937352019244","Open GSV")</f>
      </c>
      <c r="J96" t="s">
        <v>22</v>
      </c>
      <c r="K96" t="s">
        <v>22</v>
      </c>
      <c r="L96" t="s">
        <v>22</v>
      </c>
    </row>
    <row r="97">
      <c r="A97" t="s">
        <v>18</v>
      </c>
      <c r="B97" t="s">
        <v>5</v>
      </c>
      <c r="C97" t="s">
        <v>260</v>
      </c>
      <c r="D97" t="s">
        <v>258</v>
      </c>
      <c r="E97" t="n">
        <v>108.062087792545</v>
      </c>
      <c r="F97" t="n">
        <v>9.25858040964132</v>
      </c>
      <c r="G97" t="n">
        <v>45.5133761116943</v>
      </c>
      <c r="H97" t="s">
        <v>261</v>
      </c>
      <c r="I97" s="1" t="str">
        <f>HYPERLINK("https://www.google.com/maps/@?api=1&amp;map_action=pano&amp;viewpoint=45.5133761116943,9.25858040964132","Open GSV")</f>
      </c>
      <c r="J97" t="s">
        <v>22</v>
      </c>
      <c r="K97" t="s">
        <v>22</v>
      </c>
      <c r="L97" t="s">
        <v>22</v>
      </c>
    </row>
    <row r="98">
      <c r="A98" t="s">
        <v>18</v>
      </c>
      <c r="B98" t="s">
        <v>5</v>
      </c>
      <c r="C98" t="s">
        <v>262</v>
      </c>
      <c r="D98" t="s">
        <v>263</v>
      </c>
      <c r="E98" t="n">
        <v>148.285292201105</v>
      </c>
      <c r="F98" t="n">
        <v>9.17018009624707</v>
      </c>
      <c r="G98" t="n">
        <v>45.4588822440756</v>
      </c>
      <c r="H98" t="s">
        <v>264</v>
      </c>
      <c r="I98" s="1" t="str">
        <f>HYPERLINK("https://www.google.com/maps/@?api=1&amp;map_action=pano&amp;viewpoint=45.4588822440756,9.17018009624707","Open GSV")</f>
      </c>
      <c r="J98" t="s">
        <v>22</v>
      </c>
      <c r="K98" t="s">
        <v>22</v>
      </c>
      <c r="L98" t="s">
        <v>22</v>
      </c>
    </row>
    <row r="99">
      <c r="A99" t="s">
        <v>18</v>
      </c>
      <c r="B99" t="s">
        <v>5</v>
      </c>
      <c r="C99" t="s">
        <v>265</v>
      </c>
      <c r="D99" t="s">
        <v>266</v>
      </c>
      <c r="E99" t="n">
        <v>30.4401572060308</v>
      </c>
      <c r="F99" t="n">
        <v>9.21612417022893</v>
      </c>
      <c r="G99" t="n">
        <v>45.4860816972506</v>
      </c>
      <c r="H99" t="s">
        <v>267</v>
      </c>
      <c r="I99" s="1" t="str">
        <f>HYPERLINK("https://www.google.com/maps/@?api=1&amp;map_action=pano&amp;viewpoint=45.4860816972506,9.21612417022893","Open GSV")</f>
      </c>
      <c r="J99" t="s">
        <v>22</v>
      </c>
      <c r="K99" t="s">
        <v>22</v>
      </c>
      <c r="L99" t="s">
        <v>22</v>
      </c>
    </row>
    <row r="100">
      <c r="A100" t="s">
        <v>18</v>
      </c>
      <c r="B100" t="s">
        <v>5</v>
      </c>
      <c r="C100" t="s">
        <v>268</v>
      </c>
      <c r="D100" t="s">
        <v>269</v>
      </c>
      <c r="E100" t="n">
        <v>172.168187328841</v>
      </c>
      <c r="F100" t="n">
        <v>9.18109891952669</v>
      </c>
      <c r="G100" t="n">
        <v>45.5139742312652</v>
      </c>
      <c r="H100" t="s">
        <v>270</v>
      </c>
      <c r="I100" s="1" t="str">
        <f>HYPERLINK("https://www.google.com/maps/@?api=1&amp;map_action=pano&amp;viewpoint=45.5139742312652,9.18109891952669","Open GSV")</f>
      </c>
      <c r="J100" t="s">
        <v>22</v>
      </c>
      <c r="K100" t="s">
        <v>22</v>
      </c>
      <c r="L100" t="s">
        <v>22</v>
      </c>
    </row>
    <row r="101">
      <c r="A101" t="s">
        <v>18</v>
      </c>
      <c r="B101" t="s">
        <v>5</v>
      </c>
      <c r="C101" t="s">
        <v>271</v>
      </c>
      <c r="D101" t="s">
        <v>251</v>
      </c>
      <c r="E101" t="n">
        <v>16.333514301952</v>
      </c>
      <c r="F101" t="n">
        <v>9.2108531478425</v>
      </c>
      <c r="G101" t="n">
        <v>45.506611205801</v>
      </c>
      <c r="H101" t="s">
        <v>272</v>
      </c>
      <c r="I101" s="1" t="str">
        <f>HYPERLINK("https://www.google.com/maps/@?api=1&amp;map_action=pano&amp;viewpoint=45.506611205801,9.2108531478425","Open GSV")</f>
      </c>
      <c r="J101" t="s">
        <v>22</v>
      </c>
      <c r="K101" t="s">
        <v>22</v>
      </c>
      <c r="L101" t="s">
        <v>22</v>
      </c>
    </row>
    <row r="102">
      <c r="A102" t="s">
        <v>18</v>
      </c>
      <c r="B102" t="s">
        <v>5</v>
      </c>
      <c r="C102" t="s">
        <v>273</v>
      </c>
      <c r="D102" t="s">
        <v>235</v>
      </c>
      <c r="E102" t="n">
        <v>57.5507395882638</v>
      </c>
      <c r="F102" t="n">
        <v>9.17122366220857</v>
      </c>
      <c r="G102" t="n">
        <v>45.4380904598717</v>
      </c>
      <c r="H102" t="s">
        <v>274</v>
      </c>
      <c r="I102" s="1" t="str">
        <f>HYPERLINK("https://www.google.com/maps/@?api=1&amp;map_action=pano&amp;viewpoint=45.4380904598717,9.17122366220857","Open GSV")</f>
      </c>
      <c r="J102" t="s">
        <v>22</v>
      </c>
      <c r="K102" t="s">
        <v>22</v>
      </c>
      <c r="L102" t="s">
        <v>22</v>
      </c>
    </row>
    <row r="103">
      <c r="A103" t="s">
        <v>18</v>
      </c>
      <c r="B103" t="s">
        <v>5</v>
      </c>
      <c r="C103" t="s">
        <v>275</v>
      </c>
      <c r="D103" t="s">
        <v>238</v>
      </c>
      <c r="E103" t="n">
        <v>178.128812920006</v>
      </c>
      <c r="F103" t="n">
        <v>9.11655644913586</v>
      </c>
      <c r="G103" t="n">
        <v>45.5022599930715</v>
      </c>
      <c r="H103" t="s">
        <v>276</v>
      </c>
      <c r="I103" s="1" t="str">
        <f>HYPERLINK("https://www.google.com/maps/@?api=1&amp;map_action=pano&amp;viewpoint=45.5022599930715,9.11655644913586","Open GSV")</f>
      </c>
      <c r="J103" t="s">
        <v>22</v>
      </c>
      <c r="K103" t="s">
        <v>22</v>
      </c>
      <c r="L103" t="s">
        <v>22</v>
      </c>
    </row>
    <row r="104">
      <c r="A104" t="s">
        <v>18</v>
      </c>
      <c r="B104" t="s">
        <v>5</v>
      </c>
      <c r="C104" t="s">
        <v>277</v>
      </c>
      <c r="D104" t="s">
        <v>238</v>
      </c>
      <c r="E104" t="n">
        <v>66.0082340630532</v>
      </c>
      <c r="F104" t="n">
        <v>9.11803875065328</v>
      </c>
      <c r="G104" t="n">
        <v>45.5019125507069</v>
      </c>
      <c r="H104" t="s">
        <v>278</v>
      </c>
      <c r="I104" s="1" t="str">
        <f>HYPERLINK("https://www.google.com/maps/@?api=1&amp;map_action=pano&amp;viewpoint=45.5019125507069,9.11803875065328","Open GSV")</f>
      </c>
      <c r="J104" t="s">
        <v>22</v>
      </c>
      <c r="K104" t="s">
        <v>22</v>
      </c>
      <c r="L104" t="s">
        <v>22</v>
      </c>
    </row>
    <row r="105">
      <c r="A105" t="s">
        <v>18</v>
      </c>
      <c r="B105" t="s">
        <v>5</v>
      </c>
      <c r="C105" t="s">
        <v>279</v>
      </c>
      <c r="D105" t="s">
        <v>238</v>
      </c>
      <c r="E105" t="n">
        <v>64.9920121509391</v>
      </c>
      <c r="F105" t="n">
        <v>9.11800883960319</v>
      </c>
      <c r="G105" t="n">
        <v>45.5018516267466</v>
      </c>
      <c r="H105" t="s">
        <v>280</v>
      </c>
      <c r="I105" s="1" t="str">
        <f>HYPERLINK("https://www.google.com/maps/@?api=1&amp;map_action=pano&amp;viewpoint=45.5018516267466,9.11800883960319","Open GSV")</f>
      </c>
      <c r="J105" t="s">
        <v>22</v>
      </c>
      <c r="K105" t="s">
        <v>22</v>
      </c>
      <c r="L105" t="s">
        <v>22</v>
      </c>
    </row>
    <row r="106">
      <c r="A106" t="s">
        <v>18</v>
      </c>
      <c r="B106" t="s">
        <v>5</v>
      </c>
      <c r="C106" t="s">
        <v>281</v>
      </c>
      <c r="D106" t="s">
        <v>238</v>
      </c>
      <c r="E106" t="n">
        <v>69.0915431932919</v>
      </c>
      <c r="F106" t="n">
        <v>9.11882347295468</v>
      </c>
      <c r="G106" t="n">
        <v>45.5016620292934</v>
      </c>
      <c r="H106" t="s">
        <v>282</v>
      </c>
      <c r="I106" s="1" t="str">
        <f>HYPERLINK("https://www.google.com/maps/@?api=1&amp;map_action=pano&amp;viewpoint=45.5016620292934,9.11882347295468","Open GSV")</f>
      </c>
      <c r="J106" t="s">
        <v>22</v>
      </c>
      <c r="K106" t="s">
        <v>22</v>
      </c>
      <c r="L106" t="s">
        <v>22</v>
      </c>
    </row>
    <row r="107">
      <c r="A107" t="s">
        <v>18</v>
      </c>
      <c r="B107" t="s">
        <v>5</v>
      </c>
      <c r="C107" t="s">
        <v>283</v>
      </c>
      <c r="D107" t="s">
        <v>284</v>
      </c>
      <c r="E107" t="n">
        <v>228.784126712838</v>
      </c>
      <c r="F107" t="n">
        <v>9.25090295018584</v>
      </c>
      <c r="G107" t="n">
        <v>45.4619087542343</v>
      </c>
      <c r="H107" t="s">
        <v>285</v>
      </c>
      <c r="I107" s="1" t="str">
        <f>HYPERLINK("https://www.google.com/maps/@?api=1&amp;map_action=pano&amp;viewpoint=45.4619087542343,9.25090295018584","Open GSV")</f>
      </c>
      <c r="J107" t="s">
        <v>22</v>
      </c>
      <c r="K107" t="s">
        <v>22</v>
      </c>
      <c r="L107" t="s">
        <v>22</v>
      </c>
    </row>
    <row r="108">
      <c r="A108" t="s">
        <v>18</v>
      </c>
      <c r="B108" t="s">
        <v>5</v>
      </c>
      <c r="C108" t="s">
        <v>286</v>
      </c>
      <c r="D108" t="s">
        <v>284</v>
      </c>
      <c r="E108" t="n">
        <v>129.844708625607</v>
      </c>
      <c r="F108" t="n">
        <v>9.24860940007748</v>
      </c>
      <c r="G108" t="n">
        <v>45.4619209030183</v>
      </c>
      <c r="H108" t="s">
        <v>287</v>
      </c>
      <c r="I108" s="1" t="str">
        <f>HYPERLINK("https://www.google.com/maps/@?api=1&amp;map_action=pano&amp;viewpoint=45.4619209030183,9.24860940007748","Open GSV")</f>
      </c>
      <c r="J108" t="s">
        <v>22</v>
      </c>
      <c r="K108" t="s">
        <v>22</v>
      </c>
      <c r="L108" t="s">
        <v>22</v>
      </c>
    </row>
    <row r="109">
      <c r="A109" t="s">
        <v>18</v>
      </c>
      <c r="B109" t="s">
        <v>5</v>
      </c>
      <c r="C109" t="s">
        <v>288</v>
      </c>
      <c r="D109" t="s">
        <v>258</v>
      </c>
      <c r="E109" t="n">
        <v>44.5581741332792</v>
      </c>
      <c r="F109" t="n">
        <v>9.25982230428024</v>
      </c>
      <c r="G109" t="n">
        <v>45.513726689737</v>
      </c>
      <c r="H109" t="s">
        <v>289</v>
      </c>
      <c r="I109" s="1" t="str">
        <f>HYPERLINK("https://www.google.com/maps/@?api=1&amp;map_action=pano&amp;viewpoint=45.513726689737,9.25982230428024","Open GSV")</f>
      </c>
      <c r="J109" t="s">
        <v>22</v>
      </c>
      <c r="K109" t="s">
        <v>22</v>
      </c>
      <c r="L109" t="s">
        <v>22</v>
      </c>
    </row>
    <row r="110">
      <c r="A110" t="s">
        <v>18</v>
      </c>
      <c r="B110" t="s">
        <v>5</v>
      </c>
      <c r="C110" t="s">
        <v>290</v>
      </c>
      <c r="D110" t="s">
        <v>258</v>
      </c>
      <c r="E110" t="n">
        <v>158.395106297176</v>
      </c>
      <c r="F110" t="n">
        <v>9.26349821065588</v>
      </c>
      <c r="G110" t="n">
        <v>45.513815313337</v>
      </c>
      <c r="H110" t="s">
        <v>291</v>
      </c>
      <c r="I110" s="1" t="str">
        <f>HYPERLINK("https://www.google.com/maps/@?api=1&amp;map_action=pano&amp;viewpoint=45.513815313337,9.26349821065588","Open GSV")</f>
      </c>
      <c r="J110" t="s">
        <v>22</v>
      </c>
      <c r="K110" t="s">
        <v>22</v>
      </c>
      <c r="L110" t="s">
        <v>22</v>
      </c>
    </row>
    <row r="111">
      <c r="A111" t="s">
        <v>18</v>
      </c>
      <c r="B111" t="s">
        <v>5</v>
      </c>
      <c r="C111" t="s">
        <v>292</v>
      </c>
      <c r="D111" t="s">
        <v>238</v>
      </c>
      <c r="E111" t="n">
        <v>190.844859120734</v>
      </c>
      <c r="F111" t="n">
        <v>9.11289041613067</v>
      </c>
      <c r="G111" t="n">
        <v>45.5031333030052</v>
      </c>
      <c r="H111" t="s">
        <v>293</v>
      </c>
      <c r="I111" s="1" t="str">
        <f>HYPERLINK("https://www.google.com/maps/@?api=1&amp;map_action=pano&amp;viewpoint=45.5031333030052,9.11289041613067","Open GSV")</f>
      </c>
      <c r="J111" t="s">
        <v>22</v>
      </c>
      <c r="K111" t="s">
        <v>22</v>
      </c>
      <c r="L111" t="s">
        <v>22</v>
      </c>
    </row>
    <row r="112">
      <c r="A112" t="s">
        <v>18</v>
      </c>
      <c r="B112" t="s">
        <v>5</v>
      </c>
      <c r="C112" t="s">
        <v>294</v>
      </c>
      <c r="D112" t="s">
        <v>238</v>
      </c>
      <c r="E112" t="n">
        <v>92.6879843174541</v>
      </c>
      <c r="F112" t="n">
        <v>9.11459679458611</v>
      </c>
      <c r="G112" t="n">
        <v>45.5026516502554</v>
      </c>
      <c r="H112" t="s">
        <v>295</v>
      </c>
      <c r="I112" s="1" t="str">
        <f>HYPERLINK("https://www.google.com/maps/@?api=1&amp;map_action=pano&amp;viewpoint=45.5026516502554,9.11459679458611","Open GSV")</f>
      </c>
      <c r="J112" t="s">
        <v>22</v>
      </c>
      <c r="K112" t="s">
        <v>22</v>
      </c>
      <c r="L112" t="s">
        <v>22</v>
      </c>
    </row>
    <row r="113">
      <c r="A113" t="s">
        <v>18</v>
      </c>
      <c r="B113" t="s">
        <v>5</v>
      </c>
      <c r="C113" t="s">
        <v>296</v>
      </c>
      <c r="D113" t="s">
        <v>238</v>
      </c>
      <c r="E113" t="n">
        <v>58.1509584383044</v>
      </c>
      <c r="F113" t="n">
        <v>9.11960855674656</v>
      </c>
      <c r="G113" t="n">
        <v>45.5015132442278</v>
      </c>
      <c r="H113" t="s">
        <v>297</v>
      </c>
      <c r="I113" s="1" t="str">
        <f>HYPERLINK("https://www.google.com/maps/@?api=1&amp;map_action=pano&amp;viewpoint=45.5015132442278,9.11960855674656","Open GSV")</f>
      </c>
      <c r="J113" t="s">
        <v>22</v>
      </c>
      <c r="K113" t="s">
        <v>22</v>
      </c>
      <c r="L113" t="s">
        <v>22</v>
      </c>
    </row>
    <row r="114">
      <c r="A114" t="s">
        <v>18</v>
      </c>
      <c r="B114" t="s">
        <v>5</v>
      </c>
      <c r="C114" t="s">
        <v>298</v>
      </c>
      <c r="D114" t="s">
        <v>238</v>
      </c>
      <c r="E114" t="n">
        <v>131.005053308626</v>
      </c>
      <c r="F114" t="n">
        <v>9.11065220967886</v>
      </c>
      <c r="G114" t="n">
        <v>45.503667992649</v>
      </c>
      <c r="H114" t="s">
        <v>299</v>
      </c>
      <c r="I114" s="1" t="str">
        <f>HYPERLINK("https://www.google.com/maps/@?api=1&amp;map_action=pano&amp;viewpoint=45.503667992649,9.11065220967886","Open GSV")</f>
      </c>
      <c r="J114" t="s">
        <v>22</v>
      </c>
      <c r="K114" t="s">
        <v>22</v>
      </c>
      <c r="L114" t="s">
        <v>22</v>
      </c>
    </row>
    <row r="115">
      <c r="A115" t="s">
        <v>18</v>
      </c>
      <c r="B115" t="s">
        <v>5</v>
      </c>
      <c r="C115" t="s">
        <v>300</v>
      </c>
      <c r="D115" t="s">
        <v>301</v>
      </c>
      <c r="E115" t="n">
        <v>67.6427866787232</v>
      </c>
      <c r="F115" t="n">
        <v>9.24927202933219</v>
      </c>
      <c r="G115" t="n">
        <v>45.4870757634837</v>
      </c>
      <c r="H115" t="s">
        <v>302</v>
      </c>
      <c r="I115" s="1" t="str">
        <f>HYPERLINK("https://www.google.com/maps/@?api=1&amp;map_action=pano&amp;viewpoint=45.4870757634837,9.24927202933219","Open GSV")</f>
      </c>
      <c r="J115" t="s">
        <v>22</v>
      </c>
      <c r="K115" t="s">
        <v>22</v>
      </c>
      <c r="L115" t="s">
        <v>22</v>
      </c>
    </row>
    <row r="116">
      <c r="A116" t="s">
        <v>18</v>
      </c>
      <c r="B116" t="s">
        <v>5</v>
      </c>
      <c r="C116" t="s">
        <v>303</v>
      </c>
      <c r="D116" t="s">
        <v>238</v>
      </c>
      <c r="E116" t="n">
        <v>67.4448197047982</v>
      </c>
      <c r="F116" t="n">
        <v>9.11885330065125</v>
      </c>
      <c r="G116" t="n">
        <v>45.5017319507455</v>
      </c>
      <c r="H116" t="s">
        <v>304</v>
      </c>
      <c r="I116" s="1" t="str">
        <f>HYPERLINK("https://www.google.com/maps/@?api=1&amp;map_action=pano&amp;viewpoint=45.5017319507455,9.11885330065125","Open GSV")</f>
      </c>
      <c r="J116" t="s">
        <v>22</v>
      </c>
      <c r="K116" t="s">
        <v>22</v>
      </c>
      <c r="L116" t="s">
        <v>22</v>
      </c>
    </row>
    <row r="117">
      <c r="A117" t="s">
        <v>18</v>
      </c>
      <c r="B117" t="s">
        <v>5</v>
      </c>
      <c r="C117" t="s">
        <v>305</v>
      </c>
      <c r="D117" t="s">
        <v>226</v>
      </c>
      <c r="E117" t="n">
        <v>16.6999252723023</v>
      </c>
      <c r="F117" t="n">
        <v>9.23582377719469</v>
      </c>
      <c r="G117" t="n">
        <v>45.4850755961118</v>
      </c>
      <c r="H117" t="s">
        <v>306</v>
      </c>
      <c r="I117" s="1" t="str">
        <f>HYPERLINK("https://www.google.com/maps/@?api=1&amp;map_action=pano&amp;viewpoint=45.4850755961118,9.23582377719469","Open GSV")</f>
      </c>
      <c r="J117" t="s">
        <v>22</v>
      </c>
      <c r="K117" t="s">
        <v>22</v>
      </c>
      <c r="L117" t="s">
        <v>22</v>
      </c>
    </row>
    <row r="118">
      <c r="A118" t="s">
        <v>18</v>
      </c>
      <c r="B118" t="s">
        <v>5</v>
      </c>
      <c r="C118" t="s">
        <v>307</v>
      </c>
      <c r="D118" t="s">
        <v>308</v>
      </c>
      <c r="E118" t="n">
        <v>26.6044101114541</v>
      </c>
      <c r="F118" t="n">
        <v>9.15979805013311</v>
      </c>
      <c r="G118" t="n">
        <v>45.4757412000216</v>
      </c>
      <c r="H118" t="s">
        <v>309</v>
      </c>
      <c r="I118" s="1" t="str">
        <f>HYPERLINK("https://www.google.com/maps/@?api=1&amp;map_action=pano&amp;viewpoint=45.4757412000216,9.15979805013311","Open GSV")</f>
      </c>
      <c r="J118" t="s">
        <v>22</v>
      </c>
      <c r="K118" t="s">
        <v>22</v>
      </c>
      <c r="L118" t="s">
        <v>22</v>
      </c>
    </row>
    <row r="119">
      <c r="A119" t="s">
        <v>18</v>
      </c>
      <c r="B119" t="s">
        <v>5</v>
      </c>
      <c r="C119" t="s">
        <v>310</v>
      </c>
      <c r="D119" t="s">
        <v>308</v>
      </c>
      <c r="E119" t="n">
        <v>67.7394423247765</v>
      </c>
      <c r="F119" t="n">
        <v>9.15969044289611</v>
      </c>
      <c r="G119" t="n">
        <v>45.4755478482171</v>
      </c>
      <c r="H119" t="s">
        <v>311</v>
      </c>
      <c r="I119" s="1" t="str">
        <f>HYPERLINK("https://www.google.com/maps/@?api=1&amp;map_action=pano&amp;viewpoint=45.4755478482171,9.15969044289611","Open GSV")</f>
      </c>
      <c r="J119" t="s">
        <v>22</v>
      </c>
      <c r="K119" t="s">
        <v>22</v>
      </c>
      <c r="L119" t="s">
        <v>22</v>
      </c>
    </row>
    <row r="120">
      <c r="A120" t="s">
        <v>18</v>
      </c>
      <c r="B120" t="s">
        <v>6</v>
      </c>
      <c r="C120" t="s">
        <v>312</v>
      </c>
      <c r="D120"/>
      <c r="E120" t="n">
        <v>370.295605799002</v>
      </c>
      <c r="F120" t="n">
        <v>9.17639045642156</v>
      </c>
      <c r="G120" t="n">
        <v>45.5307865436249</v>
      </c>
      <c r="H120" t="s">
        <v>313</v>
      </c>
      <c r="I120" s="1" t="str">
        <f>HYPERLINK("https://www.google.com/maps/@?api=1&amp;map_action=pano&amp;viewpoint=45.5307865436249,9.17639045642156","Open GSV")</f>
      </c>
      <c r="J120" t="s">
        <v>22</v>
      </c>
      <c r="K120" t="s">
        <v>22</v>
      </c>
      <c r="L120" t="s">
        <v>22</v>
      </c>
    </row>
    <row r="121">
      <c r="A121" t="s">
        <v>18</v>
      </c>
      <c r="B121" t="s">
        <v>6</v>
      </c>
      <c r="C121" t="s">
        <v>314</v>
      </c>
      <c r="D121"/>
      <c r="E121" t="n">
        <v>348.043678730855</v>
      </c>
      <c r="F121" t="n">
        <v>9.16676373541144</v>
      </c>
      <c r="G121" t="n">
        <v>45.427097099253</v>
      </c>
      <c r="H121" t="s">
        <v>315</v>
      </c>
      <c r="I121" s="1" t="str">
        <f>HYPERLINK("https://www.google.com/maps/@?api=1&amp;map_action=pano&amp;viewpoint=45.427097099253,9.16676373541144","Open GSV")</f>
      </c>
      <c r="J121" t="s">
        <v>22</v>
      </c>
      <c r="K121" t="s">
        <v>22</v>
      </c>
      <c r="L121" t="s">
        <v>22</v>
      </c>
    </row>
    <row r="122">
      <c r="A122" t="s">
        <v>18</v>
      </c>
      <c r="B122" t="s">
        <v>6</v>
      </c>
      <c r="C122" t="s">
        <v>316</v>
      </c>
      <c r="D122"/>
      <c r="E122" t="n">
        <v>197.226889935504</v>
      </c>
      <c r="F122" t="n">
        <v>9.20353628897883</v>
      </c>
      <c r="G122" t="n">
        <v>45.4404301055213</v>
      </c>
      <c r="H122" t="s">
        <v>317</v>
      </c>
      <c r="I122" s="1" t="str">
        <f>HYPERLINK("https://www.google.com/maps/@?api=1&amp;map_action=pano&amp;viewpoint=45.4404301055213,9.20353628897883","Open GSV")</f>
      </c>
      <c r="J122" t="s">
        <v>22</v>
      </c>
      <c r="K122" t="s">
        <v>22</v>
      </c>
      <c r="L122" t="s">
        <v>22</v>
      </c>
    </row>
    <row r="123">
      <c r="A123" t="s">
        <v>18</v>
      </c>
      <c r="B123" t="s">
        <v>6</v>
      </c>
      <c r="C123" t="s">
        <v>318</v>
      </c>
      <c r="D123"/>
      <c r="E123" t="n">
        <v>25.125137911685</v>
      </c>
      <c r="F123" t="n">
        <v>9.20233743120586</v>
      </c>
      <c r="G123" t="n">
        <v>45.444163716507</v>
      </c>
      <c r="H123" t="s">
        <v>319</v>
      </c>
      <c r="I123" s="1" t="str">
        <f>HYPERLINK("https://www.google.com/maps/@?api=1&amp;map_action=pano&amp;viewpoint=45.444163716507,9.20233743120586","Open GSV")</f>
      </c>
      <c r="J123" t="s">
        <v>22</v>
      </c>
      <c r="K123" t="s">
        <v>22</v>
      </c>
      <c r="L123" t="s">
        <v>22</v>
      </c>
    </row>
    <row r="124">
      <c r="A124" t="s">
        <v>18</v>
      </c>
      <c r="B124" t="s">
        <v>6</v>
      </c>
      <c r="C124" t="s">
        <v>320</v>
      </c>
      <c r="D124"/>
      <c r="E124" t="n">
        <v>53.4560206438073</v>
      </c>
      <c r="F124" t="n">
        <v>9.12740279952567</v>
      </c>
      <c r="G124" t="n">
        <v>45.4588987004505</v>
      </c>
      <c r="H124" t="s">
        <v>321</v>
      </c>
      <c r="I124" s="1" t="str">
        <f>HYPERLINK("https://www.google.com/maps/@?api=1&amp;map_action=pano&amp;viewpoint=45.4588987004505,9.12740279952567","Open GSV")</f>
      </c>
      <c r="J124" t="s">
        <v>22</v>
      </c>
      <c r="K124" t="s">
        <v>22</v>
      </c>
      <c r="L124" t="s">
        <v>22</v>
      </c>
    </row>
    <row r="125">
      <c r="A125" t="s">
        <v>18</v>
      </c>
      <c r="B125" t="s">
        <v>6</v>
      </c>
      <c r="C125" t="s">
        <v>322</v>
      </c>
      <c r="D125"/>
      <c r="E125" t="n">
        <v>57.6675564679479</v>
      </c>
      <c r="F125" t="n">
        <v>9.12180659278386</v>
      </c>
      <c r="G125" t="n">
        <v>45.4574873344502</v>
      </c>
      <c r="H125" t="s">
        <v>323</v>
      </c>
      <c r="I125" s="1" t="str">
        <f>HYPERLINK("https://www.google.com/maps/@?api=1&amp;map_action=pano&amp;viewpoint=45.4574873344502,9.12180659278386","Open GSV")</f>
      </c>
      <c r="J125" t="s">
        <v>22</v>
      </c>
      <c r="K125" t="s">
        <v>22</v>
      </c>
      <c r="L125" t="s">
        <v>22</v>
      </c>
    </row>
    <row r="126">
      <c r="A126" t="s">
        <v>18</v>
      </c>
      <c r="B126" t="s">
        <v>6</v>
      </c>
      <c r="C126" t="s">
        <v>324</v>
      </c>
      <c r="D126"/>
      <c r="E126" t="n">
        <v>33.1982339598367</v>
      </c>
      <c r="F126" t="n">
        <v>9.11797799977427</v>
      </c>
      <c r="G126" t="n">
        <v>45.4564552001576</v>
      </c>
      <c r="H126" t="s">
        <v>325</v>
      </c>
      <c r="I126" s="1" t="str">
        <f>HYPERLINK("https://www.google.com/maps/@?api=1&amp;map_action=pano&amp;viewpoint=45.4564552001576,9.11797799977427","Open GSV")</f>
      </c>
      <c r="J126" t="s">
        <v>22</v>
      </c>
      <c r="K126" t="s">
        <v>22</v>
      </c>
      <c r="L126" t="s">
        <v>22</v>
      </c>
    </row>
    <row r="127">
      <c r="A127" t="s">
        <v>18</v>
      </c>
      <c r="B127" t="s">
        <v>6</v>
      </c>
      <c r="C127" t="s">
        <v>326</v>
      </c>
      <c r="D127"/>
      <c r="E127" t="n">
        <v>32.929779684846</v>
      </c>
      <c r="F127" t="n">
        <v>9.11796639860968</v>
      </c>
      <c r="G127" t="n">
        <v>45.4564785029557</v>
      </c>
      <c r="H127" t="s">
        <v>327</v>
      </c>
      <c r="I127" s="1" t="str">
        <f>HYPERLINK("https://www.google.com/maps/@?api=1&amp;map_action=pano&amp;viewpoint=45.4564785029557,9.11796639860968","Open GSV")</f>
      </c>
      <c r="J127" t="s">
        <v>22</v>
      </c>
      <c r="K127" t="s">
        <v>22</v>
      </c>
      <c r="L127" t="s">
        <v>22</v>
      </c>
    </row>
    <row r="128">
      <c r="A128" t="s">
        <v>18</v>
      </c>
      <c r="B128" t="s">
        <v>6</v>
      </c>
      <c r="C128" t="s">
        <v>328</v>
      </c>
      <c r="D128"/>
      <c r="E128" t="n">
        <v>73.4823570805446</v>
      </c>
      <c r="F128" t="n">
        <v>9.19193363973177</v>
      </c>
      <c r="G128" t="n">
        <v>45.5264293016089</v>
      </c>
      <c r="H128" t="s">
        <v>329</v>
      </c>
      <c r="I128" s="1" t="str">
        <f>HYPERLINK("https://www.google.com/maps/@?api=1&amp;map_action=pano&amp;viewpoint=45.5264293016089,9.19193363973177","Open GSV")</f>
      </c>
      <c r="J128" t="s">
        <v>22</v>
      </c>
      <c r="K128" t="s">
        <v>22</v>
      </c>
      <c r="L128" t="s">
        <v>22</v>
      </c>
    </row>
    <row r="129">
      <c r="A129" t="s">
        <v>18</v>
      </c>
      <c r="B129" t="s">
        <v>6</v>
      </c>
      <c r="C129" t="s">
        <v>330</v>
      </c>
      <c r="D129"/>
      <c r="E129" t="n">
        <v>84.5428233081564</v>
      </c>
      <c r="F129" t="n">
        <v>9.15408285181177</v>
      </c>
      <c r="G129" t="n">
        <v>45.4713353505872</v>
      </c>
      <c r="H129" t="s">
        <v>331</v>
      </c>
      <c r="I129" s="1" t="str">
        <f>HYPERLINK("https://www.google.com/maps/@?api=1&amp;map_action=pano&amp;viewpoint=45.4713353505872,9.15408285181177","Open GSV")</f>
      </c>
      <c r="J129" t="s">
        <v>22</v>
      </c>
      <c r="K129" t="s">
        <v>22</v>
      </c>
      <c r="L129" t="s">
        <v>22</v>
      </c>
    </row>
    <row r="130">
      <c r="A130" t="s">
        <v>18</v>
      </c>
      <c r="B130" t="s">
        <v>6</v>
      </c>
      <c r="C130" t="s">
        <v>332</v>
      </c>
      <c r="D130"/>
      <c r="E130" t="n">
        <v>27.6150311534263</v>
      </c>
      <c r="F130" t="n">
        <v>9.19463135017492</v>
      </c>
      <c r="G130" t="n">
        <v>45.4822680500982</v>
      </c>
      <c r="H130" t="s">
        <v>333</v>
      </c>
      <c r="I130" s="1" t="str">
        <f>HYPERLINK("https://www.google.com/maps/@?api=1&amp;map_action=pano&amp;viewpoint=45.4822680500982,9.19463135017492","Open GSV")</f>
      </c>
      <c r="J130" t="s">
        <v>22</v>
      </c>
      <c r="K130" t="s">
        <v>22</v>
      </c>
      <c r="L130" t="s">
        <v>22</v>
      </c>
    </row>
    <row r="131">
      <c r="A131" t="s">
        <v>18</v>
      </c>
      <c r="B131" t="s">
        <v>6</v>
      </c>
      <c r="C131" t="s">
        <v>334</v>
      </c>
      <c r="D131"/>
      <c r="E131" t="n">
        <v>214.791514406779</v>
      </c>
      <c r="F131" t="n">
        <v>9.16699093673509</v>
      </c>
      <c r="G131" t="n">
        <v>45.5193925992257</v>
      </c>
      <c r="H131" t="s">
        <v>335</v>
      </c>
      <c r="I131" s="1" t="str">
        <f>HYPERLINK("https://www.google.com/maps/@?api=1&amp;map_action=pano&amp;viewpoint=45.5193925992257,9.16699093673509","Open GSV")</f>
      </c>
      <c r="J131" t="s">
        <v>22</v>
      </c>
      <c r="K131" t="s">
        <v>22</v>
      </c>
      <c r="L131" t="s">
        <v>22</v>
      </c>
    </row>
    <row r="132">
      <c r="A132" t="s">
        <v>18</v>
      </c>
      <c r="B132" t="s">
        <v>6</v>
      </c>
      <c r="C132" t="s">
        <v>336</v>
      </c>
      <c r="D132"/>
      <c r="E132" t="n">
        <v>79.2508438237951</v>
      </c>
      <c r="F132" t="n">
        <v>9.17402211008535</v>
      </c>
      <c r="G132" t="n">
        <v>45.5328398648661</v>
      </c>
      <c r="H132" t="s">
        <v>337</v>
      </c>
      <c r="I132" s="1" t="str">
        <f>HYPERLINK("https://www.google.com/maps/@?api=1&amp;map_action=pano&amp;viewpoint=45.5328398648661,9.17402211008535","Open GSV")</f>
      </c>
      <c r="J132" t="s">
        <v>22</v>
      </c>
      <c r="K132" t="s">
        <v>22</v>
      </c>
      <c r="L132" t="s">
        <v>22</v>
      </c>
    </row>
    <row r="133">
      <c r="A133" t="s">
        <v>18</v>
      </c>
      <c r="B133" t="s">
        <v>6</v>
      </c>
      <c r="C133" t="s">
        <v>338</v>
      </c>
      <c r="D133"/>
      <c r="E133" t="n">
        <v>65.1786624185903</v>
      </c>
      <c r="F133" t="n">
        <v>9.17587177503792</v>
      </c>
      <c r="G133" t="n">
        <v>45.4695894565283</v>
      </c>
      <c r="H133" t="s">
        <v>339</v>
      </c>
      <c r="I133" s="1" t="str">
        <f>HYPERLINK("https://www.google.com/maps/@?api=1&amp;map_action=pano&amp;viewpoint=45.4695894565283,9.17587177503792","Open GSV")</f>
      </c>
      <c r="J133" t="s">
        <v>22</v>
      </c>
      <c r="K133" t="s">
        <v>22</v>
      </c>
      <c r="L133" t="s">
        <v>22</v>
      </c>
    </row>
    <row r="134">
      <c r="A134" t="s">
        <v>18</v>
      </c>
      <c r="B134" t="s">
        <v>6</v>
      </c>
      <c r="C134" t="s">
        <v>340</v>
      </c>
      <c r="D134"/>
      <c r="E134" t="n">
        <v>183.415906047517</v>
      </c>
      <c r="F134" t="n">
        <v>9.10156068115966</v>
      </c>
      <c r="G134" t="n">
        <v>45.5115155387642</v>
      </c>
      <c r="H134" t="s">
        <v>341</v>
      </c>
      <c r="I134" s="1" t="str">
        <f>HYPERLINK("https://www.google.com/maps/@?api=1&amp;map_action=pano&amp;viewpoint=45.5115155387642,9.10156068115966","Open GSV")</f>
      </c>
      <c r="J134" t="s">
        <v>22</v>
      </c>
      <c r="K134" t="s">
        <v>22</v>
      </c>
      <c r="L134" t="s">
        <v>22</v>
      </c>
    </row>
    <row r="135">
      <c r="A135" t="s">
        <v>18</v>
      </c>
      <c r="B135" t="s">
        <v>6</v>
      </c>
      <c r="C135" t="s">
        <v>342</v>
      </c>
      <c r="D135"/>
      <c r="E135" t="n">
        <v>125.528763369105</v>
      </c>
      <c r="F135" t="n">
        <v>9.15944155308298</v>
      </c>
      <c r="G135" t="n">
        <v>45.45662790053</v>
      </c>
      <c r="H135" t="s">
        <v>343</v>
      </c>
      <c r="I135" s="1" t="str">
        <f>HYPERLINK("https://www.google.com/maps/@?api=1&amp;map_action=pano&amp;viewpoint=45.45662790053,9.15944155308298","Open GSV")</f>
      </c>
      <c r="J135" t="s">
        <v>22</v>
      </c>
      <c r="K135" t="s">
        <v>22</v>
      </c>
      <c r="L135" t="s">
        <v>22</v>
      </c>
    </row>
    <row r="136">
      <c r="A136" t="s">
        <v>18</v>
      </c>
      <c r="B136" t="s">
        <v>6</v>
      </c>
      <c r="C136" t="s">
        <v>344</v>
      </c>
      <c r="D136"/>
      <c r="E136" t="n">
        <v>38.6768649939146</v>
      </c>
      <c r="F136" t="n">
        <v>9.26172053334001</v>
      </c>
      <c r="G136" t="n">
        <v>45.5055529215771</v>
      </c>
      <c r="H136" t="s">
        <v>345</v>
      </c>
      <c r="I136" s="1" t="str">
        <f>HYPERLINK("https://www.google.com/maps/@?api=1&amp;map_action=pano&amp;viewpoint=45.5055529215771,9.26172053334001","Open GSV")</f>
      </c>
      <c r="J136" t="s">
        <v>22</v>
      </c>
      <c r="K136" t="s">
        <v>22</v>
      </c>
      <c r="L136" t="s">
        <v>22</v>
      </c>
    </row>
    <row r="137">
      <c r="A137" t="s">
        <v>18</v>
      </c>
      <c r="B137" t="s">
        <v>6</v>
      </c>
      <c r="C137" t="s">
        <v>346</v>
      </c>
      <c r="D137"/>
      <c r="E137" t="n">
        <v>104.499695356404</v>
      </c>
      <c r="F137" t="n">
        <v>9.20468452538339</v>
      </c>
      <c r="G137" t="n">
        <v>45.4352568631367</v>
      </c>
      <c r="H137" t="s">
        <v>347</v>
      </c>
      <c r="I137" s="1" t="str">
        <f>HYPERLINK("https://www.google.com/maps/@?api=1&amp;map_action=pano&amp;viewpoint=45.4352568631367,9.20468452538339","Open GSV")</f>
      </c>
      <c r="J137" t="s">
        <v>22</v>
      </c>
      <c r="K137" t="s">
        <v>22</v>
      </c>
      <c r="L137" t="s">
        <v>22</v>
      </c>
    </row>
    <row r="138">
      <c r="A138" t="s">
        <v>18</v>
      </c>
      <c r="B138" t="s">
        <v>6</v>
      </c>
      <c r="C138" t="s">
        <v>348</v>
      </c>
      <c r="D138"/>
      <c r="E138" t="n">
        <v>214.908021035056</v>
      </c>
      <c r="F138" t="n">
        <v>9.20435957978311</v>
      </c>
      <c r="G138" t="n">
        <v>45.4228495777292</v>
      </c>
      <c r="H138" t="s">
        <v>349</v>
      </c>
      <c r="I138" s="1" t="str">
        <f>HYPERLINK("https://www.google.com/maps/@?api=1&amp;map_action=pano&amp;viewpoint=45.4228495777292,9.20435957978311","Open GSV")</f>
      </c>
      <c r="J138" t="s">
        <v>22</v>
      </c>
      <c r="K138" t="s">
        <v>22</v>
      </c>
      <c r="L138" t="s">
        <v>22</v>
      </c>
    </row>
    <row r="139">
      <c r="A139" t="s">
        <v>18</v>
      </c>
      <c r="B139" t="s">
        <v>6</v>
      </c>
      <c r="C139" t="s">
        <v>350</v>
      </c>
      <c r="D139"/>
      <c r="E139" t="n">
        <v>176.095706640922</v>
      </c>
      <c r="F139" t="n">
        <v>9.22372090564229</v>
      </c>
      <c r="G139" t="n">
        <v>45.4685688902265</v>
      </c>
      <c r="H139" t="s">
        <v>351</v>
      </c>
      <c r="I139" s="1" t="str">
        <f>HYPERLINK("https://www.google.com/maps/@?api=1&amp;map_action=pano&amp;viewpoint=45.4685688902265,9.22372090564229","Open GSV")</f>
      </c>
      <c r="J139" t="s">
        <v>22</v>
      </c>
      <c r="K139" t="s">
        <v>22</v>
      </c>
      <c r="L139" t="s">
        <v>22</v>
      </c>
    </row>
    <row r="140">
      <c r="A140" t="s">
        <v>18</v>
      </c>
      <c r="B140" t="s">
        <v>6</v>
      </c>
      <c r="C140" t="s">
        <v>352</v>
      </c>
      <c r="D140"/>
      <c r="E140" t="n">
        <v>808.977904948906</v>
      </c>
      <c r="F140" t="n">
        <v>9.13455621213447</v>
      </c>
      <c r="G140" t="n">
        <v>45.4799576752992</v>
      </c>
      <c r="H140" t="s">
        <v>353</v>
      </c>
      <c r="I140" s="1" t="str">
        <f>HYPERLINK("https://www.google.com/maps/@?api=1&amp;map_action=pano&amp;viewpoint=45.4799576752992,9.13455621213447","Open GSV")</f>
      </c>
      <c r="J140" t="s">
        <v>22</v>
      </c>
      <c r="K140" t="s">
        <v>22</v>
      </c>
      <c r="L140" t="s">
        <v>22</v>
      </c>
    </row>
    <row r="141">
      <c r="A141" t="s">
        <v>18</v>
      </c>
      <c r="B141" t="s">
        <v>6</v>
      </c>
      <c r="C141" t="s">
        <v>354</v>
      </c>
      <c r="D141"/>
      <c r="E141" t="n">
        <v>36.7481948532629</v>
      </c>
      <c r="F141" t="n">
        <v>9.1816157512667</v>
      </c>
      <c r="G141" t="n">
        <v>45.4678221241449</v>
      </c>
      <c r="H141" t="s">
        <v>355</v>
      </c>
      <c r="I141" s="1" t="str">
        <f>HYPERLINK("https://www.google.com/maps/@?api=1&amp;map_action=pano&amp;viewpoint=45.4678221241449,9.1816157512667","Open GSV")</f>
      </c>
      <c r="J141" t="s">
        <v>22</v>
      </c>
      <c r="K141" t="s">
        <v>22</v>
      </c>
      <c r="L141" t="s">
        <v>22</v>
      </c>
    </row>
    <row r="142">
      <c r="A142" t="s">
        <v>18</v>
      </c>
      <c r="B142" t="s">
        <v>6</v>
      </c>
      <c r="C142" t="s">
        <v>356</v>
      </c>
      <c r="D142"/>
      <c r="E142" t="n">
        <v>22.360343225304</v>
      </c>
      <c r="F142" t="n">
        <v>9.16975281559379</v>
      </c>
      <c r="G142" t="n">
        <v>45.4740587936734</v>
      </c>
      <c r="H142" t="s">
        <v>357</v>
      </c>
      <c r="I142" s="1" t="str">
        <f>HYPERLINK("https://www.google.com/maps/@?api=1&amp;map_action=pano&amp;viewpoint=45.4740587936734,9.16975281559379","Open GSV")</f>
      </c>
      <c r="J142" t="s">
        <v>22</v>
      </c>
      <c r="K142" t="s">
        <v>22</v>
      </c>
      <c r="L142" t="s">
        <v>22</v>
      </c>
    </row>
    <row r="143">
      <c r="A143" t="s">
        <v>18</v>
      </c>
      <c r="B143" t="s">
        <v>6</v>
      </c>
      <c r="C143" t="s">
        <v>358</v>
      </c>
      <c r="D143"/>
      <c r="E143" t="n">
        <v>26.5514805531294</v>
      </c>
      <c r="F143" t="n">
        <v>9.2035531700105</v>
      </c>
      <c r="G143" t="n">
        <v>45.4840817895188</v>
      </c>
      <c r="H143" t="s">
        <v>359</v>
      </c>
      <c r="I143" s="1" t="str">
        <f>HYPERLINK("https://www.google.com/maps/@?api=1&amp;map_action=pano&amp;viewpoint=45.4840817895188,9.2035531700105","Open GSV")</f>
      </c>
      <c r="J143" t="s">
        <v>22</v>
      </c>
      <c r="K143" t="s">
        <v>22</v>
      </c>
      <c r="L143" t="s">
        <v>22</v>
      </c>
    </row>
    <row r="144">
      <c r="A144" t="s">
        <v>18</v>
      </c>
      <c r="B144" t="s">
        <v>6</v>
      </c>
      <c r="C144" t="s">
        <v>360</v>
      </c>
      <c r="D144"/>
      <c r="E144" t="n">
        <v>241.377348754542</v>
      </c>
      <c r="F144" t="n">
        <v>9.18122210867667</v>
      </c>
      <c r="G144" t="n">
        <v>45.4281313594927</v>
      </c>
      <c r="H144" t="s">
        <v>361</v>
      </c>
      <c r="I144" s="1" t="str">
        <f>HYPERLINK("https://www.google.com/maps/@?api=1&amp;map_action=pano&amp;viewpoint=45.4281313594927,9.18122210867667","Open GSV")</f>
      </c>
      <c r="J144" t="s">
        <v>22</v>
      </c>
      <c r="K144" t="s">
        <v>22</v>
      </c>
      <c r="L144" t="s">
        <v>22</v>
      </c>
    </row>
    <row r="145">
      <c r="A145" t="s">
        <v>18</v>
      </c>
      <c r="B145" t="s">
        <v>6</v>
      </c>
      <c r="C145" t="s">
        <v>362</v>
      </c>
      <c r="D145"/>
      <c r="E145" t="n">
        <v>153.295024146115</v>
      </c>
      <c r="F145" t="n">
        <v>9.0999750378669</v>
      </c>
      <c r="G145" t="n">
        <v>45.5063669819176</v>
      </c>
      <c r="H145" t="s">
        <v>363</v>
      </c>
      <c r="I145" s="1" t="str">
        <f>HYPERLINK("https://www.google.com/maps/@?api=1&amp;map_action=pano&amp;viewpoint=45.5063669819176,9.0999750378669","Open GSV")</f>
      </c>
      <c r="J145" t="s">
        <v>22</v>
      </c>
      <c r="K145" t="s">
        <v>22</v>
      </c>
      <c r="L145" t="s">
        <v>22</v>
      </c>
    </row>
    <row r="146">
      <c r="A146" t="s">
        <v>18</v>
      </c>
      <c r="B146" t="s">
        <v>6</v>
      </c>
      <c r="C146" t="s">
        <v>364</v>
      </c>
      <c r="D146"/>
      <c r="E146" t="n">
        <v>49.8938650244902</v>
      </c>
      <c r="F146" t="n">
        <v>9.1011051969886</v>
      </c>
      <c r="G146" t="n">
        <v>45.5061171004387</v>
      </c>
      <c r="H146" t="s">
        <v>365</v>
      </c>
      <c r="I146" s="1" t="str">
        <f>HYPERLINK("https://www.google.com/maps/@?api=1&amp;map_action=pano&amp;viewpoint=45.5061171004387,9.1011051969886","Open GSV")</f>
      </c>
      <c r="J146" t="s">
        <v>22</v>
      </c>
      <c r="K146" t="s">
        <v>22</v>
      </c>
      <c r="L146" t="s">
        <v>22</v>
      </c>
    </row>
    <row r="147">
      <c r="A147" t="s">
        <v>18</v>
      </c>
      <c r="B147" t="s">
        <v>6</v>
      </c>
      <c r="C147" t="s">
        <v>366</v>
      </c>
      <c r="D147"/>
      <c r="E147" t="n">
        <v>26.4637116067387</v>
      </c>
      <c r="F147" t="n">
        <v>9.15624586921969</v>
      </c>
      <c r="G147" t="n">
        <v>45.4811582318406</v>
      </c>
      <c r="H147" t="s">
        <v>367</v>
      </c>
      <c r="I147" s="1" t="str">
        <f>HYPERLINK("https://www.google.com/maps/@?api=1&amp;map_action=pano&amp;viewpoint=45.4811582318406,9.15624586921969","Open GSV")</f>
      </c>
      <c r="J147" t="s">
        <v>22</v>
      </c>
      <c r="K147" t="s">
        <v>22</v>
      </c>
      <c r="L147" t="s">
        <v>22</v>
      </c>
    </row>
    <row r="148">
      <c r="A148" t="s">
        <v>18</v>
      </c>
      <c r="B148" t="s">
        <v>6</v>
      </c>
      <c r="C148" t="s">
        <v>368</v>
      </c>
      <c r="D148"/>
      <c r="E148" t="n">
        <v>25.1523099324966</v>
      </c>
      <c r="F148" t="n">
        <v>9.2402748532223</v>
      </c>
      <c r="G148" t="n">
        <v>45.4404195074151</v>
      </c>
      <c r="H148" t="s">
        <v>369</v>
      </c>
      <c r="I148" s="1" t="str">
        <f>HYPERLINK("https://www.google.com/maps/@?api=1&amp;map_action=pano&amp;viewpoint=45.4404195074151,9.2402748532223","Open GSV")</f>
      </c>
      <c r="J148" t="s">
        <v>22</v>
      </c>
      <c r="K148" t="s">
        <v>22</v>
      </c>
      <c r="L148" t="s">
        <v>22</v>
      </c>
    </row>
    <row r="149">
      <c r="A149" t="s">
        <v>18</v>
      </c>
      <c r="B149" t="s">
        <v>6</v>
      </c>
      <c r="C149" t="s">
        <v>370</v>
      </c>
      <c r="D149"/>
      <c r="E149" t="n">
        <v>547.812334558707</v>
      </c>
      <c r="F149" t="n">
        <v>9.18965192938304</v>
      </c>
      <c r="G149" t="n">
        <v>45.4203616405119</v>
      </c>
      <c r="H149" t="s">
        <v>371</v>
      </c>
      <c r="I149" s="1" t="str">
        <f>HYPERLINK("https://www.google.com/maps/@?api=1&amp;map_action=pano&amp;viewpoint=45.4203616405119,9.18965192938304","Open GSV")</f>
      </c>
      <c r="J149" t="s">
        <v>22</v>
      </c>
      <c r="K149" t="s">
        <v>22</v>
      </c>
      <c r="L149" t="s">
        <v>22</v>
      </c>
    </row>
    <row r="150">
      <c r="A150" t="s">
        <v>18</v>
      </c>
      <c r="B150" t="s">
        <v>6</v>
      </c>
      <c r="C150" t="s">
        <v>372</v>
      </c>
      <c r="D150"/>
      <c r="E150" t="n">
        <v>32.959868552447</v>
      </c>
      <c r="F150" t="n">
        <v>9.18262964641022</v>
      </c>
      <c r="G150" t="n">
        <v>45.4679265672845</v>
      </c>
      <c r="H150" t="s">
        <v>373</v>
      </c>
      <c r="I150" s="1" t="str">
        <f>HYPERLINK("https://www.google.com/maps/@?api=1&amp;map_action=pano&amp;viewpoint=45.4679265672845,9.18262964641022","Open GSV")</f>
      </c>
      <c r="J150" t="s">
        <v>22</v>
      </c>
      <c r="K150" t="s">
        <v>22</v>
      </c>
      <c r="L150" t="s">
        <v>22</v>
      </c>
    </row>
    <row r="151">
      <c r="A151" t="s">
        <v>18</v>
      </c>
      <c r="B151" t="s">
        <v>6</v>
      </c>
      <c r="C151" t="s">
        <v>374</v>
      </c>
      <c r="D151"/>
      <c r="E151" t="n">
        <v>65.2608931836444</v>
      </c>
      <c r="F151" t="n">
        <v>9.25812364700863</v>
      </c>
      <c r="G151" t="n">
        <v>45.4871800589162</v>
      </c>
      <c r="H151" t="s">
        <v>375</v>
      </c>
      <c r="I151" s="1" t="str">
        <f>HYPERLINK("https://www.google.com/maps/@?api=1&amp;map_action=pano&amp;viewpoint=45.4871800589162,9.25812364700863","Open GSV")</f>
      </c>
      <c r="J151" t="s">
        <v>22</v>
      </c>
      <c r="K151" t="s">
        <v>22</v>
      </c>
      <c r="L151" t="s">
        <v>22</v>
      </c>
    </row>
    <row r="152">
      <c r="A152" t="s">
        <v>18</v>
      </c>
      <c r="B152" t="s">
        <v>6</v>
      </c>
      <c r="C152" t="s">
        <v>376</v>
      </c>
      <c r="D152"/>
      <c r="E152" t="n">
        <v>345.764147193548</v>
      </c>
      <c r="F152" t="n">
        <v>9.25501620591434</v>
      </c>
      <c r="G152" t="n">
        <v>45.460094069344</v>
      </c>
      <c r="H152" t="s">
        <v>377</v>
      </c>
      <c r="I152" s="1" t="str">
        <f>HYPERLINK("https://www.google.com/maps/@?api=1&amp;map_action=pano&amp;viewpoint=45.460094069344,9.25501620591434","Open GSV")</f>
      </c>
      <c r="J152" t="s">
        <v>22</v>
      </c>
      <c r="K152" t="s">
        <v>22</v>
      </c>
      <c r="L152" t="s">
        <v>22</v>
      </c>
    </row>
    <row r="153">
      <c r="A153" t="s">
        <v>18</v>
      </c>
      <c r="B153" t="s">
        <v>6</v>
      </c>
      <c r="C153" t="s">
        <v>378</v>
      </c>
      <c r="D153"/>
      <c r="E153" t="n">
        <v>58.6569015149424</v>
      </c>
      <c r="F153" t="n">
        <v>9.23860189608945</v>
      </c>
      <c r="G153" t="n">
        <v>45.4363613582418</v>
      </c>
      <c r="H153" t="s">
        <v>379</v>
      </c>
      <c r="I153" s="1" t="str">
        <f>HYPERLINK("https://www.google.com/maps/@?api=1&amp;map_action=pano&amp;viewpoint=45.4363613582418,9.23860189608945","Open GSV")</f>
      </c>
      <c r="J153" t="s">
        <v>22</v>
      </c>
      <c r="K153" t="s">
        <v>22</v>
      </c>
      <c r="L153" t="s">
        <v>22</v>
      </c>
    </row>
    <row r="154">
      <c r="A154" t="s">
        <v>18</v>
      </c>
      <c r="B154" t="s">
        <v>6</v>
      </c>
      <c r="C154" t="s">
        <v>380</v>
      </c>
      <c r="D154"/>
      <c r="E154" t="n">
        <v>128.618720688205</v>
      </c>
      <c r="F154" t="n">
        <v>9.1014661805487</v>
      </c>
      <c r="G154" t="n">
        <v>45.5113221194677</v>
      </c>
      <c r="H154" t="s">
        <v>381</v>
      </c>
      <c r="I154" s="1" t="str">
        <f>HYPERLINK("https://www.google.com/maps/@?api=1&amp;map_action=pano&amp;viewpoint=45.5113221194677,9.1014661805487","Open GSV")</f>
      </c>
      <c r="J154" t="s">
        <v>22</v>
      </c>
      <c r="K154" t="s">
        <v>22</v>
      </c>
      <c r="L154" t="s">
        <v>22</v>
      </c>
    </row>
    <row r="155">
      <c r="A155" t="s">
        <v>18</v>
      </c>
      <c r="B155" t="s">
        <v>6</v>
      </c>
      <c r="C155" t="s">
        <v>382</v>
      </c>
      <c r="D155"/>
      <c r="E155" t="n">
        <v>128.190755741965</v>
      </c>
      <c r="F155" t="n">
        <v>9.15925778544842</v>
      </c>
      <c r="G155" t="n">
        <v>45.4533331109291</v>
      </c>
      <c r="H155" t="s">
        <v>383</v>
      </c>
      <c r="I155" s="1" t="str">
        <f>HYPERLINK("https://www.google.com/maps/@?api=1&amp;map_action=pano&amp;viewpoint=45.4533331109291,9.15925778544842","Open GSV")</f>
      </c>
      <c r="J155" t="s">
        <v>22</v>
      </c>
      <c r="K155" t="s">
        <v>22</v>
      </c>
      <c r="L155" t="s">
        <v>22</v>
      </c>
    </row>
    <row r="156">
      <c r="A156" t="s">
        <v>18</v>
      </c>
      <c r="B156" t="s">
        <v>6</v>
      </c>
      <c r="C156" t="s">
        <v>384</v>
      </c>
      <c r="D156"/>
      <c r="E156" t="n">
        <v>58.7907791033616</v>
      </c>
      <c r="F156" t="n">
        <v>9.22589474966326</v>
      </c>
      <c r="G156" t="n">
        <v>45.5169828000297</v>
      </c>
      <c r="H156" t="s">
        <v>385</v>
      </c>
      <c r="I156" s="1" t="str">
        <f>HYPERLINK("https://www.google.com/maps/@?api=1&amp;map_action=pano&amp;viewpoint=45.5169828000297,9.22589474966326","Open GSV")</f>
      </c>
      <c r="J156" t="s">
        <v>22</v>
      </c>
      <c r="K156" t="s">
        <v>22</v>
      </c>
      <c r="L156" t="s">
        <v>22</v>
      </c>
    </row>
    <row r="157">
      <c r="A157" t="s">
        <v>18</v>
      </c>
      <c r="B157" t="s">
        <v>6</v>
      </c>
      <c r="C157" t="s">
        <v>386</v>
      </c>
      <c r="D157"/>
      <c r="E157" t="n">
        <v>107.493974395292</v>
      </c>
      <c r="F157" t="n">
        <v>9.22208801978396</v>
      </c>
      <c r="G157" t="n">
        <v>45.5043207664984</v>
      </c>
      <c r="H157" t="s">
        <v>387</v>
      </c>
      <c r="I157" s="1" t="str">
        <f>HYPERLINK("https://www.google.com/maps/@?api=1&amp;map_action=pano&amp;viewpoint=45.5043207664984,9.22208801978396","Open GSV")</f>
      </c>
      <c r="J157" t="s">
        <v>22</v>
      </c>
      <c r="K157" t="s">
        <v>22</v>
      </c>
      <c r="L157" t="s">
        <v>22</v>
      </c>
    </row>
    <row r="158">
      <c r="A158" t="s">
        <v>18</v>
      </c>
      <c r="B158" t="s">
        <v>6</v>
      </c>
      <c r="C158" t="s">
        <v>388</v>
      </c>
      <c r="D158"/>
      <c r="E158" t="n">
        <v>403.710164539152</v>
      </c>
      <c r="F158" t="n">
        <v>9.21756614122883</v>
      </c>
      <c r="G158" t="n">
        <v>45.4893787356403</v>
      </c>
      <c r="H158" t="s">
        <v>389</v>
      </c>
      <c r="I158" s="1" t="str">
        <f>HYPERLINK("https://www.google.com/maps/@?api=1&amp;map_action=pano&amp;viewpoint=45.4893787356403,9.21756614122883","Open GSV")</f>
      </c>
      <c r="J158" t="s">
        <v>22</v>
      </c>
      <c r="K158" t="s">
        <v>22</v>
      </c>
      <c r="L158" t="s">
        <v>22</v>
      </c>
    </row>
    <row r="159">
      <c r="A159" t="s">
        <v>18</v>
      </c>
      <c r="B159" t="s">
        <v>6</v>
      </c>
      <c r="C159" t="s">
        <v>390</v>
      </c>
      <c r="D159"/>
      <c r="E159" t="n">
        <v>104.333261204463</v>
      </c>
      <c r="F159" t="n">
        <v>9.22484509906638</v>
      </c>
      <c r="G159" t="n">
        <v>45.5128630131224</v>
      </c>
      <c r="H159" t="s">
        <v>391</v>
      </c>
      <c r="I159" s="1" t="str">
        <f>HYPERLINK("https://www.google.com/maps/@?api=1&amp;map_action=pano&amp;viewpoint=45.5128630131224,9.22484509906638","Open GSV")</f>
      </c>
      <c r="J159" t="s">
        <v>22</v>
      </c>
      <c r="K159" t="s">
        <v>22</v>
      </c>
      <c r="L159" t="s">
        <v>22</v>
      </c>
    </row>
    <row r="160">
      <c r="A160" t="s">
        <v>18</v>
      </c>
      <c r="B160" t="s">
        <v>6</v>
      </c>
      <c r="C160" t="s">
        <v>392</v>
      </c>
      <c r="D160"/>
      <c r="E160" t="n">
        <v>113.358945222495</v>
      </c>
      <c r="F160" t="n">
        <v>9.20057792583495</v>
      </c>
      <c r="G160" t="n">
        <v>45.4664086535716</v>
      </c>
      <c r="H160" t="s">
        <v>393</v>
      </c>
      <c r="I160" s="1" t="str">
        <f>HYPERLINK("https://www.google.com/maps/@?api=1&amp;map_action=pano&amp;viewpoint=45.4664086535716,9.20057792583495","Open GSV")</f>
      </c>
      <c r="J160" t="s">
        <v>22</v>
      </c>
      <c r="K160" t="s">
        <v>22</v>
      </c>
      <c r="L160" t="s">
        <v>22</v>
      </c>
    </row>
    <row r="161">
      <c r="A161" t="s">
        <v>18</v>
      </c>
      <c r="B161" t="s">
        <v>6</v>
      </c>
      <c r="C161" t="s">
        <v>394</v>
      </c>
      <c r="D161"/>
      <c r="E161" t="n">
        <v>77.8674907728067</v>
      </c>
      <c r="F161" t="n">
        <v>9.19563931434041</v>
      </c>
      <c r="G161" t="n">
        <v>45.4719640453153</v>
      </c>
      <c r="H161" t="s">
        <v>395</v>
      </c>
      <c r="I161" s="1" t="str">
        <f>HYPERLINK("https://www.google.com/maps/@?api=1&amp;map_action=pano&amp;viewpoint=45.4719640453153,9.19563931434041","Open GSV")</f>
      </c>
      <c r="J161" t="s">
        <v>22</v>
      </c>
      <c r="K161" t="s">
        <v>22</v>
      </c>
      <c r="L161" t="s">
        <v>22</v>
      </c>
    </row>
    <row r="162">
      <c r="A162" t="s">
        <v>18</v>
      </c>
      <c r="B162" t="s">
        <v>6</v>
      </c>
      <c r="C162" t="s">
        <v>396</v>
      </c>
      <c r="D162"/>
      <c r="E162" t="n">
        <v>135.637251752994</v>
      </c>
      <c r="F162" t="n">
        <v>9.20025983832562</v>
      </c>
      <c r="G162" t="n">
        <v>45.4676259082369</v>
      </c>
      <c r="H162" t="s">
        <v>397</v>
      </c>
      <c r="I162" s="1" t="str">
        <f>HYPERLINK("https://www.google.com/maps/@?api=1&amp;map_action=pano&amp;viewpoint=45.4676259082369,9.20025983832562","Open GSV")</f>
      </c>
      <c r="J162" t="s">
        <v>22</v>
      </c>
      <c r="K162" t="s">
        <v>22</v>
      </c>
      <c r="L162" t="s">
        <v>22</v>
      </c>
    </row>
    <row r="163">
      <c r="A163" t="s">
        <v>18</v>
      </c>
      <c r="B163" t="s">
        <v>6</v>
      </c>
      <c r="C163" t="s">
        <v>398</v>
      </c>
      <c r="D163"/>
      <c r="E163" t="n">
        <v>84.9302660344403</v>
      </c>
      <c r="F163" t="n">
        <v>9.15995169279727</v>
      </c>
      <c r="G163" t="n">
        <v>45.4794960333222</v>
      </c>
      <c r="H163" t="s">
        <v>399</v>
      </c>
      <c r="I163" s="1" t="str">
        <f>HYPERLINK("https://www.google.com/maps/@?api=1&amp;map_action=pano&amp;viewpoint=45.4794960333222,9.15995169279727","Open GSV")</f>
      </c>
      <c r="J163" t="s">
        <v>22</v>
      </c>
      <c r="K163" t="s">
        <v>22</v>
      </c>
      <c r="L163" t="s">
        <v>22</v>
      </c>
    </row>
    <row r="164">
      <c r="A164" t="s">
        <v>18</v>
      </c>
      <c r="B164" t="s">
        <v>6</v>
      </c>
      <c r="C164" t="s">
        <v>400</v>
      </c>
      <c r="D164"/>
      <c r="E164" t="n">
        <v>47.6615824471682</v>
      </c>
      <c r="F164" t="n">
        <v>9.15305804949771</v>
      </c>
      <c r="G164" t="n">
        <v>45.4644296501061</v>
      </c>
      <c r="H164" t="s">
        <v>401</v>
      </c>
      <c r="I164" s="1" t="str">
        <f>HYPERLINK("https://www.google.com/maps/@?api=1&amp;map_action=pano&amp;viewpoint=45.4644296501061,9.15305804949771","Open GSV")</f>
      </c>
      <c r="J164" t="s">
        <v>22</v>
      </c>
      <c r="K164" t="s">
        <v>22</v>
      </c>
      <c r="L164" t="s">
        <v>22</v>
      </c>
    </row>
    <row r="165">
      <c r="A165" t="s">
        <v>18</v>
      </c>
      <c r="B165" t="s">
        <v>6</v>
      </c>
      <c r="C165" t="s">
        <v>402</v>
      </c>
      <c r="D165"/>
      <c r="E165" t="n">
        <v>169.703124406372</v>
      </c>
      <c r="F165" t="n">
        <v>9.15035243702596</v>
      </c>
      <c r="G165" t="n">
        <v>45.4610169318125</v>
      </c>
      <c r="H165" t="s">
        <v>403</v>
      </c>
      <c r="I165" s="1" t="str">
        <f>HYPERLINK("https://www.google.com/maps/@?api=1&amp;map_action=pano&amp;viewpoint=45.4610169318125,9.15035243702596","Open GSV")</f>
      </c>
      <c r="J165" t="s">
        <v>22</v>
      </c>
      <c r="K165" t="s">
        <v>22</v>
      </c>
      <c r="L165" t="s">
        <v>22</v>
      </c>
    </row>
    <row r="166">
      <c r="A166" t="s">
        <v>18</v>
      </c>
      <c r="B166" t="s">
        <v>6</v>
      </c>
      <c r="C166" t="s">
        <v>404</v>
      </c>
      <c r="D166"/>
      <c r="E166" t="n">
        <v>39.4579966752838</v>
      </c>
      <c r="F166" t="n">
        <v>9.14623096625036</v>
      </c>
      <c r="G166" t="n">
        <v>45.4594630622387</v>
      </c>
      <c r="H166" t="s">
        <v>405</v>
      </c>
      <c r="I166" s="1" t="str">
        <f>HYPERLINK("https://www.google.com/maps/@?api=1&amp;map_action=pano&amp;viewpoint=45.4594630622387,9.14623096625036","Open GSV")</f>
      </c>
      <c r="J166" t="s">
        <v>22</v>
      </c>
      <c r="K166" t="s">
        <v>22</v>
      </c>
      <c r="L166" t="s">
        <v>22</v>
      </c>
    </row>
    <row r="167">
      <c r="A167" t="s">
        <v>18</v>
      </c>
      <c r="B167" t="s">
        <v>6</v>
      </c>
      <c r="C167" t="s">
        <v>406</v>
      </c>
      <c r="D167"/>
      <c r="E167" t="n">
        <v>68.4183730793828</v>
      </c>
      <c r="F167" t="n">
        <v>9.23713449997673</v>
      </c>
      <c r="G167" t="n">
        <v>45.4563194508379</v>
      </c>
      <c r="H167" t="s">
        <v>407</v>
      </c>
      <c r="I167" s="1" t="str">
        <f>HYPERLINK("https://www.google.com/maps/@?api=1&amp;map_action=pano&amp;viewpoint=45.4563194508379,9.23713449997673","Open GSV")</f>
      </c>
      <c r="J167" t="s">
        <v>22</v>
      </c>
      <c r="K167" t="s">
        <v>22</v>
      </c>
      <c r="L167" t="s">
        <v>22</v>
      </c>
    </row>
    <row r="168">
      <c r="A168" t="s">
        <v>18</v>
      </c>
      <c r="B168" t="s">
        <v>6</v>
      </c>
      <c r="C168" t="s">
        <v>408</v>
      </c>
      <c r="D168"/>
      <c r="E168" t="n">
        <v>24.4357093375581</v>
      </c>
      <c r="F168" t="n">
        <v>9.21525155014299</v>
      </c>
      <c r="G168" t="n">
        <v>45.486361800072</v>
      </c>
      <c r="H168" t="s">
        <v>409</v>
      </c>
      <c r="I168" s="1" t="str">
        <f>HYPERLINK("https://www.google.com/maps/@?api=1&amp;map_action=pano&amp;viewpoint=45.486361800072,9.21525155014299","Open GSV")</f>
      </c>
      <c r="J168" t="s">
        <v>22</v>
      </c>
      <c r="K168" t="s">
        <v>22</v>
      </c>
      <c r="L168" t="s">
        <v>22</v>
      </c>
    </row>
    <row r="169">
      <c r="A169" t="s">
        <v>18</v>
      </c>
      <c r="B169" t="s">
        <v>6</v>
      </c>
      <c r="C169" t="s">
        <v>410</v>
      </c>
      <c r="D169"/>
      <c r="E169" t="n">
        <v>84.9152177756258</v>
      </c>
      <c r="F169" t="n">
        <v>9.12175990118062</v>
      </c>
      <c r="G169" t="n">
        <v>45.4583481501622</v>
      </c>
      <c r="H169" t="s">
        <v>411</v>
      </c>
      <c r="I169" s="1" t="str">
        <f>HYPERLINK("https://www.google.com/maps/@?api=1&amp;map_action=pano&amp;viewpoint=45.4583481501622,9.12175990118062","Open GSV")</f>
      </c>
      <c r="J169" t="s">
        <v>22</v>
      </c>
      <c r="K169" t="s">
        <v>22</v>
      </c>
      <c r="L16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eugenividaltortosa</dc:creator>
  <cp:lastModifiedBy>eugenividaltortosa</cp:lastModifiedBy>
  <dcterms:created xsi:type="dcterms:W3CDTF">2026-04-10T09:14:19Z</dcterms:created>
</coreProperties>
</file>