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s" sheetId="1" state="visible" r:id="rId1"/>
    <sheet name="validation_sample" sheetId="2" state="visible" r:id="rId2"/>
  </sheets>
</workbook>
</file>

<file path=xl/sharedStrings.xml><?xml version="1.0" encoding="utf-8"?>
<sst xmlns="http://schemas.openxmlformats.org/spreadsheetml/2006/main" count="494" uniqueCount="494">
  <si>
    <t xml:space="preserve">type</t>
  </si>
  <si>
    <t xml:space="preserve">n_total</t>
  </si>
  <si>
    <t xml:space="preserve">n_sample</t>
  </si>
  <si>
    <t xml:space="preserve">pedestrianisation</t>
  </si>
  <si>
    <t xml:space="preserve">living_street</t>
  </si>
  <si>
    <t xml:space="preserve">road_diet</t>
  </si>
  <si>
    <t xml:space="preserve">cycleway_added</t>
  </si>
  <si>
    <t xml:space="preserve">city</t>
  </si>
  <si>
    <t xml:space="preserve">seg_id</t>
  </si>
  <si>
    <t xml:space="preserve">street_name</t>
  </si>
  <si>
    <t xml:space="preserve">seg_len_m</t>
  </si>
  <si>
    <t xml:space="preserve">lon</t>
  </si>
  <si>
    <t xml:space="preserve">lat</t>
  </si>
  <si>
    <t xml:space="preserve">gsv_url</t>
  </si>
  <si>
    <t xml:space="preserve">gsv_link</t>
  </si>
  <si>
    <t xml:space="preserve">valid_change</t>
  </si>
  <si>
    <t xml:space="preserve">unclear</t>
  </si>
  <si>
    <t xml:space="preserve">comments</t>
  </si>
  <si>
    <t xml:space="preserve">barcelona</t>
  </si>
  <si>
    <t xml:space="preserve">ped_1</t>
  </si>
  <si>
    <t xml:space="preserve">Carrer de Sant Pere Més Baix</t>
  </si>
  <si>
    <t xml:space="preserve">https://www.google.com/maps/@?api=1&amp;map_action=pano&amp;viewpoint=41.3866546374696,2.17667140537315</t>
  </si>
  <si>
    <t xml:space="preserve"/>
  </si>
  <si>
    <t xml:space="preserve">ped_2</t>
  </si>
  <si>
    <t xml:space="preserve">Carrer d'Àvila</t>
  </si>
  <si>
    <t xml:space="preserve">https://www.google.com/maps/@?api=1&amp;map_action=pano&amp;viewpoint=41.4017525715515,2.189055035721</t>
  </si>
  <si>
    <t xml:space="preserve">ped_3</t>
  </si>
  <si>
    <t xml:space="preserve">Carrer de la Providència</t>
  </si>
  <si>
    <t xml:space="preserve">https://www.google.com/maps/@?api=1&amp;map_action=pano&amp;viewpoint=41.4105587510428,2.1641113446417</t>
  </si>
  <si>
    <t xml:space="preserve">ped_4</t>
  </si>
  <si>
    <t xml:space="preserve">Carrer de la Vila Joiosa</t>
  </si>
  <si>
    <t xml:space="preserve">https://www.google.com/maps/@?api=1&amp;map_action=pano&amp;viewpoint=41.3783827992123,2.19112767159596</t>
  </si>
  <si>
    <t xml:space="preserve">ped_5</t>
  </si>
  <si>
    <t xml:space="preserve">Carrer de Conxita Supervia</t>
  </si>
  <si>
    <t xml:space="preserve">https://www.google.com/maps/@?api=1&amp;map_action=pano&amp;viewpoint=41.3798231600989,2.12811162228376</t>
  </si>
  <si>
    <t xml:space="preserve">ped_6</t>
  </si>
  <si>
    <t xml:space="preserve">Plaça Joaquim Xirau i Palau</t>
  </si>
  <si>
    <t xml:space="preserve">https://www.google.com/maps/@?api=1&amp;map_action=pano&amp;viewpoint=41.3784676051548,2.17636293047648</t>
  </si>
  <si>
    <t xml:space="preserve">ped_7</t>
  </si>
  <si>
    <t xml:space="preserve">Carrer del Call</t>
  </si>
  <si>
    <t xml:space="preserve">https://www.google.com/maps/@?api=1&amp;map_action=pano&amp;viewpoint=41.3821950807068,2.17604535572138</t>
  </si>
  <si>
    <t xml:space="preserve">ped_8</t>
  </si>
  <si>
    <t xml:space="preserve">Carrer de Parellada</t>
  </si>
  <si>
    <t xml:space="preserve">https://www.google.com/maps/@?api=1&amp;map_action=pano&amp;viewpoint=41.4321226499905,2.19011333218166</t>
  </si>
  <si>
    <t xml:space="preserve">ped_9</t>
  </si>
  <si>
    <t xml:space="preserve">Carrer de Premià</t>
  </si>
  <si>
    <t xml:space="preserve">https://www.google.com/maps/@?api=1&amp;map_action=pano&amp;viewpoint=41.3776560711956,2.1394730732443</t>
  </si>
  <si>
    <t xml:space="preserve">ped_10</t>
  </si>
  <si>
    <t xml:space="preserve">Carrer de Pannisars</t>
  </si>
  <si>
    <t xml:space="preserve">https://www.google.com/maps/@?api=1&amp;map_action=pano&amp;viewpoint=41.3761086965522,2.13338184419135</t>
  </si>
  <si>
    <t xml:space="preserve">ped_11</t>
  </si>
  <si>
    <t xml:space="preserve">Rambla del Raval</t>
  </si>
  <si>
    <t xml:space="preserve">https://www.google.com/maps/@?api=1&amp;map_action=pano&amp;viewpoint=41.3794530103211,2.16839795269601</t>
  </si>
  <si>
    <t xml:space="preserve">ped_12</t>
  </si>
  <si>
    <t xml:space="preserve">Carrer de Chapí</t>
  </si>
  <si>
    <t xml:space="preserve">https://www.google.com/maps/@?api=1&amp;map_action=pano&amp;viewpoint=41.4315737785,2.1605078849586</t>
  </si>
  <si>
    <t xml:space="preserve">ped_13</t>
  </si>
  <si>
    <t xml:space="preserve">Carrer de la Traviata</t>
  </si>
  <si>
    <t xml:space="preserve">https://www.google.com/maps/@?api=1&amp;map_action=pano&amp;viewpoint=41.4274526353428,2.09590802802496</t>
  </si>
  <si>
    <t xml:space="preserve">ped_14</t>
  </si>
  <si>
    <t xml:space="preserve">Carrer de Santa Magdalena Sofia</t>
  </si>
  <si>
    <t xml:space="preserve">https://www.google.com/maps/@?api=1&amp;map_action=pano&amp;viewpoint=41.4013844065903,2.11936364466755</t>
  </si>
  <si>
    <t xml:space="preserve">ped_15</t>
  </si>
  <si>
    <t xml:space="preserve">Baixada de Can Mateu</t>
  </si>
  <si>
    <t xml:space="preserve">https://www.google.com/maps/@?api=1&amp;map_action=pano&amp;viewpoint=41.4269118911412,2.16243874921107</t>
  </si>
  <si>
    <t xml:space="preserve">ped_16</t>
  </si>
  <si>
    <t xml:space="preserve">Plaça de Margarida Fort</t>
  </si>
  <si>
    <t xml:space="preserve">https://www.google.com/maps/@?api=1&amp;map_action=pano&amp;viewpoint=41.4209656780566,2.15037615831385</t>
  </si>
  <si>
    <t xml:space="preserve">ped_17</t>
  </si>
  <si>
    <t xml:space="preserve">https://www.google.com/maps/@?api=1&amp;map_action=pano&amp;viewpoint=41.4019909938462,2.18874085006794</t>
  </si>
  <si>
    <t xml:space="preserve">ped_18</t>
  </si>
  <si>
    <t xml:space="preserve">Carreró de les Ànimes</t>
  </si>
  <si>
    <t xml:space="preserve">https://www.google.com/maps/@?api=1&amp;map_action=pano&amp;viewpoint=41.3764458522027,2.12892479393283</t>
  </si>
  <si>
    <t xml:space="preserve">ped_19</t>
  </si>
  <si>
    <t xml:space="preserve">Carrer d'Anglesola</t>
  </si>
  <si>
    <t xml:space="preserve">https://www.google.com/maps/@?api=1&amp;map_action=pano&amp;viewpoint=41.388471402815,2.13316793399356</t>
  </si>
  <si>
    <t xml:space="preserve">ped_20</t>
  </si>
  <si>
    <t xml:space="preserve">Plaça d'Amich</t>
  </si>
  <si>
    <t xml:space="preserve">https://www.google.com/maps/@?api=1&amp;map_action=pano&amp;viewpoint=41.4014014912444,2.12016817407754</t>
  </si>
  <si>
    <t xml:space="preserve">ped_21</t>
  </si>
  <si>
    <t xml:space="preserve">Carrer d'Avinyó</t>
  </si>
  <si>
    <t xml:space="preserve">https://www.google.com/maps/@?api=1&amp;map_action=pano&amp;viewpoint=41.3817461250649,2.17567354697364</t>
  </si>
  <si>
    <t xml:space="preserve">ped_22</t>
  </si>
  <si>
    <t xml:space="preserve">Carrer de Sol i Padrís</t>
  </si>
  <si>
    <t xml:space="preserve">https://www.google.com/maps/@?api=1&amp;map_action=pano&amp;viewpoint=41.4008149203211,2.11903406052398</t>
  </si>
  <si>
    <t xml:space="preserve">ped_23</t>
  </si>
  <si>
    <t xml:space="preserve">Plaça de Sant Jaume</t>
  </si>
  <si>
    <t xml:space="preserve">https://www.google.com/maps/@?api=1&amp;map_action=pano&amp;viewpoint=41.3828048021289,2.17717279442093</t>
  </si>
  <si>
    <t xml:space="preserve">ped_24</t>
  </si>
  <si>
    <t xml:space="preserve">https://www.google.com/maps/@?api=1&amp;map_action=pano&amp;viewpoint=41.3824810986191,2.17680282536592</t>
  </si>
  <si>
    <t xml:space="preserve">ped_25</t>
  </si>
  <si>
    <t xml:space="preserve">https://www.google.com/maps/@?api=1&amp;map_action=pano&amp;viewpoint=41.3827694594861,2.17686011509199</t>
  </si>
  <si>
    <t xml:space="preserve">ped_26</t>
  </si>
  <si>
    <t xml:space="preserve">https://www.google.com/maps/@?api=1&amp;map_action=pano&amp;viewpoint=41.3795215164757,2.16610536810706</t>
  </si>
  <si>
    <t xml:space="preserve">ped_27</t>
  </si>
  <si>
    <t xml:space="preserve">Camí de Ca l'Isidret</t>
  </si>
  <si>
    <t xml:space="preserve">https://www.google.com/maps/@?api=1&amp;map_action=pano&amp;viewpoint=41.4159629282493,2.20702258572568</t>
  </si>
  <si>
    <t xml:space="preserve">ped_28</t>
  </si>
  <si>
    <t xml:space="preserve">Carrer de Xavier Nogués</t>
  </si>
  <si>
    <t xml:space="preserve">https://www.google.com/maps/@?api=1&amp;map_action=pano&amp;viewpoint=41.4146797081391,2.21577130751636</t>
  </si>
  <si>
    <t xml:space="preserve">ped_29</t>
  </si>
  <si>
    <t xml:space="preserve">Carrer de Sant Joan de Malta</t>
  </si>
  <si>
    <t xml:space="preserve">https://www.google.com/maps/@?api=1&amp;map_action=pano&amp;viewpoint=41.4042657441605,2.19863423046635</t>
  </si>
  <si>
    <t xml:space="preserve">ped_30</t>
  </si>
  <si>
    <t xml:space="preserve">Carrer d'Alfarràs</t>
  </si>
  <si>
    <t xml:space="preserve">https://www.google.com/maps/@?api=1&amp;map_action=pano&amp;viewpoint=41.4385670435404,2.20471269771175</t>
  </si>
  <si>
    <t xml:space="preserve">ped_31</t>
  </si>
  <si>
    <t xml:space="preserve">Carrer de Blai</t>
  </si>
  <si>
    <t xml:space="preserve">https://www.google.com/maps/@?api=1&amp;map_action=pano&amp;viewpoint=41.373613243916,2.16466490013929</t>
  </si>
  <si>
    <t xml:space="preserve">ped_32</t>
  </si>
  <si>
    <t xml:space="preserve">Baixada de Blanes</t>
  </si>
  <si>
    <t xml:space="preserve">https://www.google.com/maps/@?api=1&amp;map_action=pano&amp;viewpoint=41.4109683611703,2.14485941357807</t>
  </si>
  <si>
    <t xml:space="preserve">liv_7</t>
  </si>
  <si>
    <t xml:space="preserve">Carrer de la Segarra</t>
  </si>
  <si>
    <t xml:space="preserve">https://www.google.com/maps/@?api=1&amp;map_action=pano&amp;viewpoint=41.4375030039142,2.18822277701772</t>
  </si>
  <si>
    <t xml:space="preserve">liv_14</t>
  </si>
  <si>
    <t xml:space="preserve">Carrer de la Llibertat</t>
  </si>
  <si>
    <t xml:space="preserve">https://www.google.com/maps/@?api=1&amp;map_action=pano&amp;viewpoint=41.3999950047008,2.16162433578729</t>
  </si>
  <si>
    <t xml:space="preserve">liv_23</t>
  </si>
  <si>
    <t xml:space="preserve">Carrer del Camp</t>
  </si>
  <si>
    <t xml:space="preserve">https://www.google.com/maps/@?api=1&amp;map_action=pano&amp;viewpoint=41.4029070012773,2.13675446416163</t>
  </si>
  <si>
    <t xml:space="preserve">liv_26</t>
  </si>
  <si>
    <t xml:space="preserve">Carrer de Casas i Amigó</t>
  </si>
  <si>
    <t xml:space="preserve">https://www.google.com/maps/@?api=1&amp;map_action=pano&amp;viewpoint=41.4347600369408,2.17697870682224</t>
  </si>
  <si>
    <t xml:space="preserve">liv_32</t>
  </si>
  <si>
    <t xml:space="preserve">Carrer del Congost</t>
  </si>
  <si>
    <t xml:space="preserve">https://www.google.com/maps/@?api=1&amp;map_action=pano&amp;viewpoint=41.4063050420468,2.15847400890697</t>
  </si>
  <si>
    <t xml:space="preserve">liv_41</t>
  </si>
  <si>
    <t xml:space="preserve">Carrer de Salinas</t>
  </si>
  <si>
    <t xml:space="preserve">https://www.google.com/maps/@?api=1&amp;map_action=pano&amp;viewpoint=41.4064488248863,2.15735736508851</t>
  </si>
  <si>
    <t xml:space="preserve">liv_43</t>
  </si>
  <si>
    <t xml:space="preserve">Carrer d'Hipòlit Lázaro</t>
  </si>
  <si>
    <t xml:space="preserve">https://www.google.com/maps/@?api=1&amp;map_action=pano&amp;viewpoint=41.4067011531304,2.16434367413072</t>
  </si>
  <si>
    <t xml:space="preserve">liv_63</t>
  </si>
  <si>
    <t xml:space="preserve">Carrer de la Marquesa de Caldes de Montbui</t>
  </si>
  <si>
    <t xml:space="preserve">https://www.google.com/maps/@?api=1&amp;map_action=pano&amp;viewpoint=41.4249587442864,2.17425802505617</t>
  </si>
  <si>
    <t xml:space="preserve">liv_69</t>
  </si>
  <si>
    <t xml:space="preserve">Passatge de Turull</t>
  </si>
  <si>
    <t xml:space="preserve">https://www.google.com/maps/@?api=1&amp;map_action=pano&amp;viewpoint=41.4135164944258,2.14886755068688</t>
  </si>
  <si>
    <t xml:space="preserve">liv_72</t>
  </si>
  <si>
    <t xml:space="preserve">Carrer de Sant Camil</t>
  </si>
  <si>
    <t xml:space="preserve">https://www.google.com/maps/@?api=1&amp;map_action=pano&amp;viewpoint=41.413729603873,2.14667995946707</t>
  </si>
  <si>
    <t xml:space="preserve">liv_76</t>
  </si>
  <si>
    <t xml:space="preserve">Carrer d'Emili Roca</t>
  </si>
  <si>
    <t xml:space="preserve">https://www.google.com/maps/@?api=1&amp;map_action=pano&amp;viewpoint=41.4283663938627,2.17807664322693</t>
  </si>
  <si>
    <t xml:space="preserve">liv_78</t>
  </si>
  <si>
    <t xml:space="preserve">Carrer de Cortit</t>
  </si>
  <si>
    <t xml:space="preserve">https://www.google.com/maps/@?api=1&amp;map_action=pano&amp;viewpoint=41.4257343039939,2.18980958260958</t>
  </si>
  <si>
    <t xml:space="preserve">liv_81</t>
  </si>
  <si>
    <t xml:space="preserve">Passatge d'Artemís</t>
  </si>
  <si>
    <t xml:space="preserve">https://www.google.com/maps/@?api=1&amp;map_action=pano&amp;viewpoint=41.4196416186732,2.18221356828148</t>
  </si>
  <si>
    <t xml:space="preserve">liv_90</t>
  </si>
  <si>
    <t xml:space="preserve">Carrer d'Alpens</t>
  </si>
  <si>
    <t xml:space="preserve">https://www.google.com/maps/@?api=1&amp;map_action=pano&amp;viewpoint=41.3723511367862,2.1403126215692</t>
  </si>
  <si>
    <t xml:space="preserve">liv_91</t>
  </si>
  <si>
    <t xml:space="preserve">Carrer del Forn</t>
  </si>
  <si>
    <t xml:space="preserve">https://www.google.com/maps/@?api=1&amp;map_action=pano&amp;viewpoint=41.3767074580508,2.14397551392483</t>
  </si>
  <si>
    <t xml:space="preserve">liv_109</t>
  </si>
  <si>
    <t xml:space="preserve">Carrer del Tinent Flomesta</t>
  </si>
  <si>
    <t xml:space="preserve">https://www.google.com/maps/@?api=1&amp;map_action=pano&amp;viewpoint=41.3742770234233,2.13182154024536</t>
  </si>
  <si>
    <t xml:space="preserve">liv_118</t>
  </si>
  <si>
    <t xml:space="preserve">Carrer de Sant Ferriol</t>
  </si>
  <si>
    <t xml:space="preserve">https://www.google.com/maps/@?api=1&amp;map_action=pano&amp;viewpoint=41.3723522123108,2.1469690814976</t>
  </si>
  <si>
    <t xml:space="preserve">liv_135</t>
  </si>
  <si>
    <t xml:space="preserve">Carrer de Mercedes</t>
  </si>
  <si>
    <t xml:space="preserve">https://www.google.com/maps/@?api=1&amp;map_action=pano&amp;viewpoint=41.4127339474707,2.15327878450482</t>
  </si>
  <si>
    <t xml:space="preserve">liv_137</t>
  </si>
  <si>
    <t xml:space="preserve">Carrer del Capcir</t>
  </si>
  <si>
    <t xml:space="preserve">https://www.google.com/maps/@?api=1&amp;map_action=pano&amp;viewpoint=41.4264672022094,2.15110810048014</t>
  </si>
  <si>
    <t xml:space="preserve">liv_141</t>
  </si>
  <si>
    <t xml:space="preserve">Carrer d'Eiximenis</t>
  </si>
  <si>
    <t xml:space="preserve">https://www.google.com/maps/@?api=1&amp;map_action=pano&amp;viewpoint=41.4409752749613,2.18932800199558</t>
  </si>
  <si>
    <t xml:space="preserve">liv_143</t>
  </si>
  <si>
    <t xml:space="preserve">Gran Via de les Corts Catalanes</t>
  </si>
  <si>
    <t xml:space="preserve">https://www.google.com/maps/@?api=1&amp;map_action=pano&amp;viewpoint=41.4100649243028,2.19501587748571</t>
  </si>
  <si>
    <t xml:space="preserve">liv_153</t>
  </si>
  <si>
    <t xml:space="preserve">Carrer del Portell</t>
  </si>
  <si>
    <t xml:space="preserve">https://www.google.com/maps/@?api=1&amp;map_action=pano&amp;viewpoint=41.4178219724626,2.15086202020825</t>
  </si>
  <si>
    <t xml:space="preserve">liv_166</t>
  </si>
  <si>
    <t xml:space="preserve">Carrer dels Pins de Can Caralleu</t>
  </si>
  <si>
    <t xml:space="preserve">https://www.google.com/maps/@?api=1&amp;map_action=pano&amp;viewpoint=41.4036167804821,2.10866665250237</t>
  </si>
  <si>
    <t xml:space="preserve">liv_179</t>
  </si>
  <si>
    <t xml:space="preserve">Camí de la Verneda</t>
  </si>
  <si>
    <t xml:space="preserve">https://www.google.com/maps/@?api=1&amp;map_action=pano&amp;viewpoint=41.424047727004,2.20415170316959</t>
  </si>
  <si>
    <t xml:space="preserve">liv_195</t>
  </si>
  <si>
    <t xml:space="preserve">Passatge d'Olivé</t>
  </si>
  <si>
    <t xml:space="preserve">https://www.google.com/maps/@?api=1&amp;map_action=pano&amp;viewpoint=41.4059250485741,2.2049610502794</t>
  </si>
  <si>
    <t xml:space="preserve">liv_197</t>
  </si>
  <si>
    <t xml:space="preserve">Carrer de l'Àliga</t>
  </si>
  <si>
    <t xml:space="preserve">https://www.google.com/maps/@?api=1&amp;map_action=pano&amp;viewpoint=41.3730661174789,2.14333244815935</t>
  </si>
  <si>
    <t xml:space="preserve">liv_210</t>
  </si>
  <si>
    <t xml:space="preserve">Passatge de Mas de Roda</t>
  </si>
  <si>
    <t xml:space="preserve">https://www.google.com/maps/@?api=1&amp;map_action=pano&amp;viewpoint=41.3968341724088,2.20007198490228</t>
  </si>
  <si>
    <t xml:space="preserve">liv_211</t>
  </si>
  <si>
    <t xml:space="preserve">Carrer Demòstenes</t>
  </si>
  <si>
    <t xml:space="preserve">https://www.google.com/maps/@?api=1&amp;map_action=pano&amp;viewpoint=41.3760279410902,2.13368178662403</t>
  </si>
  <si>
    <t xml:space="preserve">liv_217</t>
  </si>
  <si>
    <t xml:space="preserve">Carrer de les Jonqueres</t>
  </si>
  <si>
    <t xml:space="preserve">https://www.google.com/maps/@?api=1&amp;map_action=pano&amp;viewpoint=41.3883557363496,2.17402902351931</t>
  </si>
  <si>
    <t xml:space="preserve">liv_223</t>
  </si>
  <si>
    <t xml:space="preserve">Carrer de Ramón y Cajal</t>
  </si>
  <si>
    <t xml:space="preserve">https://www.google.com/maps/@?api=1&amp;map_action=pano&amp;viewpoint=41.4049561923066,2.16248053634083</t>
  </si>
  <si>
    <t xml:space="preserve">liv_224</t>
  </si>
  <si>
    <t xml:space="preserve">Carrer de Verdi</t>
  </si>
  <si>
    <t xml:space="preserve">https://www.google.com/maps/@?api=1&amp;map_action=pano&amp;viewpoint=41.407783967103,2.15296458741386</t>
  </si>
  <si>
    <t xml:space="preserve">liv_229</t>
  </si>
  <si>
    <t xml:space="preserve">Carrer de Portlligat</t>
  </si>
  <si>
    <t xml:space="preserve">https://www.google.com/maps/@?api=1&amp;map_action=pano&amp;viewpoint=41.4488931745484,2.18069145429209</t>
  </si>
  <si>
    <t xml:space="preserve">liv_244</t>
  </si>
  <si>
    <t xml:space="preserve">Carrer de Cubelles</t>
  </si>
  <si>
    <t xml:space="preserve">https://www.google.com/maps/@?api=1&amp;map_action=pano&amp;viewpoint=41.426923767582,2.17558009008135</t>
  </si>
  <si>
    <t xml:space="preserve">liv_254</t>
  </si>
  <si>
    <t xml:space="preserve">Plaça de Narcís Oller</t>
  </si>
  <si>
    <t xml:space="preserve">https://www.google.com/maps/@?api=1&amp;map_action=pano&amp;viewpoint=41.3970091061561,2.15526599370059</t>
  </si>
  <si>
    <t xml:space="preserve">liv_256</t>
  </si>
  <si>
    <t xml:space="preserve">Camí de la Lliça</t>
  </si>
  <si>
    <t xml:space="preserve">https://www.google.com/maps/@?api=1&amp;map_action=pano&amp;viewpoint=41.4030408019304,2.10614233848884</t>
  </si>
  <si>
    <t xml:space="preserve">liv_263</t>
  </si>
  <si>
    <t xml:space="preserve">Camí de Can Móra</t>
  </si>
  <si>
    <t xml:space="preserve">https://www.google.com/maps/@?api=1&amp;map_action=pano&amp;viewpoint=41.4175925407163,2.15157696664121</t>
  </si>
  <si>
    <t xml:space="preserve">liv_277</t>
  </si>
  <si>
    <t xml:space="preserve">Carrer del Doctor Ibáñez</t>
  </si>
  <si>
    <t xml:space="preserve">https://www.google.com/maps/@?api=1&amp;map_action=pano&amp;viewpoint=41.3878461984698,2.13143215950203</t>
  </si>
  <si>
    <t xml:space="preserve">liv_290</t>
  </si>
  <si>
    <t xml:space="preserve">Carrer d'Amílcar</t>
  </si>
  <si>
    <t xml:space="preserve">https://www.google.com/maps/@?api=1&amp;map_action=pano&amp;viewpoint=41.426590991927,2.17235412450811</t>
  </si>
  <si>
    <t xml:space="preserve">liv_294</t>
  </si>
  <si>
    <t xml:space="preserve">Carrer del Regent Mendieta</t>
  </si>
  <si>
    <t xml:space="preserve">https://www.google.com/maps/@?api=1&amp;map_action=pano&amp;viewpoint=41.3768200177211,2.12233727146791</t>
  </si>
  <si>
    <t xml:space="preserve">liv_299</t>
  </si>
  <si>
    <t xml:space="preserve">Carrer del Barri Vermell</t>
  </si>
  <si>
    <t xml:space="preserve">https://www.google.com/maps/@?api=1&amp;map_action=pano&amp;viewpoint=41.4339341711417,2.20303162631617</t>
  </si>
  <si>
    <t xml:space="preserve">liv_306</t>
  </si>
  <si>
    <t xml:space="preserve">Carrer de Dolors Monserdà</t>
  </si>
  <si>
    <t xml:space="preserve">https://www.google.com/maps/@?api=1&amp;map_action=pano&amp;viewpoint=41.4012606014327,2.12090652030266</t>
  </si>
  <si>
    <t xml:space="preserve">liv_309</t>
  </si>
  <si>
    <t xml:space="preserve">Carrer Major de Can Caralleu</t>
  </si>
  <si>
    <t xml:space="preserve">https://www.google.com/maps/@?api=1&amp;map_action=pano&amp;viewpoint=41.4026232895297,2.10961698974837</t>
  </si>
  <si>
    <t xml:space="preserve">liv_327</t>
  </si>
  <si>
    <t xml:space="preserve">Carrer de Torres de Marina</t>
  </si>
  <si>
    <t xml:space="preserve">https://www.google.com/maps/@?api=1&amp;map_action=pano&amp;viewpoint=41.3522225916335,2.14803080052909</t>
  </si>
  <si>
    <t xml:space="preserve">liv_328</t>
  </si>
  <si>
    <t xml:space="preserve">Carrer de Gabriel Miró</t>
  </si>
  <si>
    <t xml:space="preserve">https://www.google.com/maps/@?api=1&amp;map_action=pano&amp;viewpoint=41.3526631893484,2.14768670360901</t>
  </si>
  <si>
    <t xml:space="preserve">liv_332</t>
  </si>
  <si>
    <t xml:space="preserve">Carrer de Conrad Xalabarder</t>
  </si>
  <si>
    <t xml:space="preserve">https://www.google.com/maps/@?api=1&amp;map_action=pano&amp;viewpoint=41.3973744446618,2.10860050273466</t>
  </si>
  <si>
    <t xml:space="preserve">liv_343</t>
  </si>
  <si>
    <t xml:space="preserve">Baixada del Monestir</t>
  </si>
  <si>
    <t xml:space="preserve">https://www.google.com/maps/@?api=1&amp;map_action=pano&amp;viewpoint=41.395236664417,2.11325888256489</t>
  </si>
  <si>
    <t xml:space="preserve">liv_347</t>
  </si>
  <si>
    <t xml:space="preserve">Riera d'Escuder</t>
  </si>
  <si>
    <t xml:space="preserve">https://www.google.com/maps/@?api=1&amp;map_action=pano&amp;viewpoint=41.3751603480993,2.13225096639418</t>
  </si>
  <si>
    <t xml:space="preserve">liv_348</t>
  </si>
  <si>
    <t xml:space="preserve">https://www.google.com/maps/@?api=1&amp;map_action=pano&amp;viewpoint=41.3727146802999,2.13232507243723</t>
  </si>
  <si>
    <t xml:space="preserve">liv_349</t>
  </si>
  <si>
    <t xml:space="preserve">Carrer de Llobera</t>
  </si>
  <si>
    <t xml:space="preserve">https://www.google.com/maps/@?api=1&amp;map_action=pano&amp;viewpoint=41.4480766024944,2.17295864245986</t>
  </si>
  <si>
    <t xml:space="preserve">liv_357</t>
  </si>
  <si>
    <t xml:space="preserve">Carrer del Poeta Cabanyes</t>
  </si>
  <si>
    <t xml:space="preserve">https://www.google.com/maps/@?api=1&amp;map_action=pano&amp;viewpoint=41.3748481993749,2.16608240581831</t>
  </si>
  <si>
    <t xml:space="preserve">rd_4</t>
  </si>
  <si>
    <t xml:space="preserve">Ronda de Sant Pere</t>
  </si>
  <si>
    <t xml:space="preserve">https://www.google.com/maps/@?api=1&amp;map_action=pano&amp;viewpoint=41.3910460335118,2.17835132732811</t>
  </si>
  <si>
    <t xml:space="preserve">rd_6</t>
  </si>
  <si>
    <t xml:space="preserve">Carrer del Portal de Santa Madrona</t>
  </si>
  <si>
    <t xml:space="preserve">https://www.google.com/maps/@?api=1&amp;map_action=pano&amp;viewpoint=41.3764426696256,2.17558059576159</t>
  </si>
  <si>
    <t xml:space="preserve">rd_13</t>
  </si>
  <si>
    <t xml:space="preserve">https://www.google.com/maps/@?api=1&amp;map_action=pano&amp;viewpoint=41.4062218089718,2.11554311649138</t>
  </si>
  <si>
    <t xml:space="preserve">rd_16</t>
  </si>
  <si>
    <t xml:space="preserve">Carrer d'Oriol</t>
  </si>
  <si>
    <t xml:space="preserve">https://www.google.com/maps/@?api=1&amp;map_action=pano&amp;viewpoint=41.4465229765605,2.1782136171636</t>
  </si>
  <si>
    <t xml:space="preserve">rd_17</t>
  </si>
  <si>
    <t xml:space="preserve">Avinguda de Josep Vicenç Foix</t>
  </si>
  <si>
    <t xml:space="preserve">https://www.google.com/maps/@?api=1&amp;map_action=pano&amp;viewpoint=41.3958561719042,2.11999266382844</t>
  </si>
  <si>
    <t xml:space="preserve">rd_22</t>
  </si>
  <si>
    <t xml:space="preserve">Carrer del Pintor Alsamora</t>
  </si>
  <si>
    <t xml:space="preserve">https://www.google.com/maps/@?api=1&amp;map_action=pano&amp;viewpoint=41.4344997643802,2.18143153009488</t>
  </si>
  <si>
    <t xml:space="preserve">rd_24</t>
  </si>
  <si>
    <t xml:space="preserve">Carrer de Viriat</t>
  </si>
  <si>
    <t xml:space="preserve">https://www.google.com/maps/@?api=1&amp;map_action=pano&amp;viewpoint=41.3788216816153,2.13866001987984</t>
  </si>
  <si>
    <t xml:space="preserve">rd_25</t>
  </si>
  <si>
    <t xml:space="preserve">Carrer de Llançà</t>
  </si>
  <si>
    <t xml:space="preserve">https://www.google.com/maps/@?api=1&amp;map_action=pano&amp;viewpoint=41.3767411426056,2.14996182826357</t>
  </si>
  <si>
    <t xml:space="preserve">rd_30</t>
  </si>
  <si>
    <t xml:space="preserve">Avinguda d'Esplugues</t>
  </si>
  <si>
    <t xml:space="preserve">https://www.google.com/maps/@?api=1&amp;map_action=pano&amp;viewpoint=41.3951863212359,2.11336410104081</t>
  </si>
  <si>
    <t xml:space="preserve">rd_34</t>
  </si>
  <si>
    <t xml:space="preserve">Carrer de la Creu Coberta</t>
  </si>
  <si>
    <t xml:space="preserve">https://www.google.com/maps/@?api=1&amp;map_action=pano&amp;viewpoint=41.3752764929725,2.14852783176896</t>
  </si>
  <si>
    <t xml:space="preserve">rd_35</t>
  </si>
  <si>
    <t xml:space="preserve">Túnel de Vallvidrera</t>
  </si>
  <si>
    <t xml:space="preserve">https://www.google.com/maps/@?api=1&amp;map_action=pano&amp;viewpoint=41.4168010834449,2.10029990827415</t>
  </si>
  <si>
    <t xml:space="preserve">rd_39</t>
  </si>
  <si>
    <t xml:space="preserve">Avinguda de Roma</t>
  </si>
  <si>
    <t xml:space="preserve">https://www.google.com/maps/@?api=1&amp;map_action=pano&amp;viewpoint=41.3804770919385,2.14311642970238</t>
  </si>
  <si>
    <t xml:space="preserve">rd_46</t>
  </si>
  <si>
    <t xml:space="preserve">Avinguda de Pau Casals</t>
  </si>
  <si>
    <t xml:space="preserve">https://www.google.com/maps/@?api=1&amp;map_action=pano&amp;viewpoint=41.3934329241773,2.14281538850959</t>
  </si>
  <si>
    <t xml:space="preserve">rd_50</t>
  </si>
  <si>
    <t xml:space="preserve">Carrer de Ganduxer</t>
  </si>
  <si>
    <t xml:space="preserve">https://www.google.com/maps/@?api=1&amp;map_action=pano&amp;viewpoint=41.4016752685516,2.13236714512911</t>
  </si>
  <si>
    <t xml:space="preserve">rd_51</t>
  </si>
  <si>
    <t xml:space="preserve">Avinguda de Joan XXIII</t>
  </si>
  <si>
    <t xml:space="preserve">https://www.google.com/maps/@?api=1&amp;map_action=pano&amp;viewpoint=41.3811796574144,2.11953014075037</t>
  </si>
  <si>
    <t xml:space="preserve">rd_52</t>
  </si>
  <si>
    <t xml:space="preserve">Avinguda Meridiana</t>
  </si>
  <si>
    <t xml:space="preserve">https://www.google.com/maps/@?api=1&amp;map_action=pano&amp;viewpoint=41.4096955895162,2.18676337233591</t>
  </si>
  <si>
    <t xml:space="preserve">rd_54</t>
  </si>
  <si>
    <t xml:space="preserve">Ronda del General Mitre</t>
  </si>
  <si>
    <t xml:space="preserve">https://www.google.com/maps/@?api=1&amp;map_action=pano&amp;viewpoint=41.3974427750769,2.13273161862471</t>
  </si>
  <si>
    <t xml:space="preserve">rd_64</t>
  </si>
  <si>
    <t xml:space="preserve">Carrer de Balmes</t>
  </si>
  <si>
    <t xml:space="preserve">https://www.google.com/maps/@?api=1&amp;map_action=pano&amp;viewpoint=41.4013818368984,2.14727195993733</t>
  </si>
  <si>
    <t xml:space="preserve">rd_67</t>
  </si>
  <si>
    <t xml:space="preserve">Passeig de Fabra i Puig</t>
  </si>
  <si>
    <t xml:space="preserve">https://www.google.com/maps/@?api=1&amp;map_action=pano&amp;viewpoint=41.4302465806657,2.17990548856182</t>
  </si>
  <si>
    <t xml:space="preserve">rd_69</t>
  </si>
  <si>
    <t xml:space="preserve">Avinguda Diagonal (lateral mar)</t>
  </si>
  <si>
    <t xml:space="preserve">https://www.google.com/maps/@?api=1&amp;map_action=pano&amp;viewpoint=41.3988674221386,2.16955441957783</t>
  </si>
  <si>
    <t xml:space="preserve">rd_74</t>
  </si>
  <si>
    <t xml:space="preserve">https://www.google.com/maps/@?api=1&amp;map_action=pano&amp;viewpoint=41.4083933556807,2.22021033266</t>
  </si>
  <si>
    <t xml:space="preserve">rd_79</t>
  </si>
  <si>
    <t xml:space="preserve">https://www.google.com/maps/@?api=1&amp;map_action=pano&amp;viewpoint=41.4178857513245,2.1867937310561</t>
  </si>
  <si>
    <t xml:space="preserve">rd_85</t>
  </si>
  <si>
    <t xml:space="preserve">https://www.google.com/maps/@?api=1&amp;map_action=pano&amp;viewpoint=41.4022965133622,2.14560422105371</t>
  </si>
  <si>
    <t xml:space="preserve">rd_86</t>
  </si>
  <si>
    <t xml:space="preserve">Plaça de les Glòries</t>
  </si>
  <si>
    <t xml:space="preserve">https://www.google.com/maps/@?api=1&amp;map_action=pano&amp;viewpoint=41.4042755108121,2.18837980135862</t>
  </si>
  <si>
    <t xml:space="preserve">rd_89</t>
  </si>
  <si>
    <t xml:space="preserve">Plaça de les Drassanes</t>
  </si>
  <si>
    <t xml:space="preserve">https://www.google.com/maps/@?api=1&amp;map_action=pano&amp;viewpoint=41.3733719343507,2.1758231552125</t>
  </si>
  <si>
    <t xml:space="preserve">rd_94</t>
  </si>
  <si>
    <t xml:space="preserve">Carrer de Pi i Margall</t>
  </si>
  <si>
    <t xml:space="preserve">https://www.google.com/maps/@?api=1&amp;map_action=pano&amp;viewpoint=41.408048682271,2.16365713173579</t>
  </si>
  <si>
    <t xml:space="preserve">rd_98</t>
  </si>
  <si>
    <t xml:space="preserve">Via Augusta</t>
  </si>
  <si>
    <t xml:space="preserve">https://www.google.com/maps/@?api=1&amp;map_action=pano&amp;viewpoint=41.3977669362819,2.12857334474416</t>
  </si>
  <si>
    <t xml:space="preserve">rd_106</t>
  </si>
  <si>
    <t xml:space="preserve">https://www.google.com/maps/@?api=1&amp;map_action=pano&amp;viewpoint=41.4000503826201,2.13497876797769</t>
  </si>
  <si>
    <t xml:space="preserve">rd_110</t>
  </si>
  <si>
    <t xml:space="preserve">Avinguda Diagonal (lateral muntanya)</t>
  </si>
  <si>
    <t xml:space="preserve">https://www.google.com/maps/@?api=1&amp;map_action=pano&amp;viewpoint=41.3990013851436,2.16874879669154</t>
  </si>
  <si>
    <t xml:space="preserve">rd_112</t>
  </si>
  <si>
    <t xml:space="preserve">https://www.google.com/maps/@?api=1&amp;map_action=pano&amp;viewpoint=41.4045760438868,2.18871729983184</t>
  </si>
  <si>
    <t xml:space="preserve">rd_116</t>
  </si>
  <si>
    <t xml:space="preserve">Carrer de Ramon Trias Fargas</t>
  </si>
  <si>
    <t xml:space="preserve">https://www.google.com/maps/@?api=1&amp;map_action=pano&amp;viewpoint=41.3873769812233,2.19451268527666</t>
  </si>
  <si>
    <t xml:space="preserve">rd_118</t>
  </si>
  <si>
    <t xml:space="preserve">https://www.google.com/maps/@?api=1&amp;map_action=pano&amp;viewpoint=41.4047657940452,2.18839194950233</t>
  </si>
  <si>
    <t xml:space="preserve">rd_121</t>
  </si>
  <si>
    <t xml:space="preserve">https://www.google.com/maps/@?api=1&amp;map_action=pano&amp;viewpoint=41.4062705653632,2.19050995923685</t>
  </si>
  <si>
    <t xml:space="preserve">rd_122</t>
  </si>
  <si>
    <t xml:space="preserve">https://www.google.com/maps/@?api=1&amp;map_action=pano&amp;viewpoint=41.4454106939564,2.18709889942184</t>
  </si>
  <si>
    <t xml:space="preserve">rd_127</t>
  </si>
  <si>
    <t xml:space="preserve">https://www.google.com/maps/@?api=1&amp;map_action=pano&amp;viewpoint=41.4016290617489,2.12123541589475</t>
  </si>
  <si>
    <t xml:space="preserve">rd_136</t>
  </si>
  <si>
    <t xml:space="preserve">Avinguda Diagonal</t>
  </si>
  <si>
    <t xml:space="preserve">https://www.google.com/maps/@?api=1&amp;map_action=pano&amp;viewpoint=41.4024451406222,2.1825383515025</t>
  </si>
  <si>
    <t xml:space="preserve">rd_140</t>
  </si>
  <si>
    <t xml:space="preserve">Carrer d'Entença</t>
  </si>
  <si>
    <t xml:space="preserve">https://www.google.com/maps/@?api=1&amp;map_action=pano&amp;viewpoint=41.3809799494656,2.14878194404732</t>
  </si>
  <si>
    <t xml:space="preserve">rd_142</t>
  </si>
  <si>
    <t xml:space="preserve">https://www.google.com/maps/@?api=1&amp;map_action=pano&amp;viewpoint=41.3990640695039,2.1526607228</t>
  </si>
  <si>
    <t xml:space="preserve">rd_148</t>
  </si>
  <si>
    <t xml:space="preserve">https://www.google.com/maps/@?api=1&amp;map_action=pano&amp;viewpoint=41.4007132179575,2.13553774811311</t>
  </si>
  <si>
    <t xml:space="preserve">rd_151</t>
  </si>
  <si>
    <t xml:space="preserve">https://www.google.com/maps/@?api=1&amp;map_action=pano&amp;viewpoint=41.4159759939961,2.18700117429111</t>
  </si>
  <si>
    <t xml:space="preserve">rd_152</t>
  </si>
  <si>
    <t xml:space="preserve">https://www.google.com/maps/@?api=1&amp;map_action=pano&amp;viewpoint=41.3896149938509,2.16845869996998</t>
  </si>
  <si>
    <t xml:space="preserve">rd_153</t>
  </si>
  <si>
    <t xml:space="preserve">Passeig de la Vall d'Hebron</t>
  </si>
  <si>
    <t xml:space="preserve">https://www.google.com/maps/@?api=1&amp;map_action=pano&amp;viewpoint=41.4322800885034,2.14555720091147</t>
  </si>
  <si>
    <t xml:space="preserve">rd_158</t>
  </si>
  <si>
    <t xml:space="preserve">Carretera de Sarrià a Vallvidrera i Les Planes</t>
  </si>
  <si>
    <t xml:space="preserve">https://www.google.com/maps/@?api=1&amp;map_action=pano&amp;viewpoint=41.4286944438755,2.08929654999999</t>
  </si>
  <si>
    <t xml:space="preserve">rd_159</t>
  </si>
  <si>
    <t xml:space="preserve">Carrer d'Esteve Terradas</t>
  </si>
  <si>
    <t xml:space="preserve">https://www.google.com/maps/@?api=1&amp;map_action=pano&amp;viewpoint=41.4152561256653,2.13937581281297</t>
  </si>
  <si>
    <t xml:space="preserve">rd_160</t>
  </si>
  <si>
    <t xml:space="preserve">https://www.google.com/maps/@?api=1&amp;map_action=pano&amp;viewpoint=41.4152124056617,2.13864569884756</t>
  </si>
  <si>
    <t xml:space="preserve">rd_161</t>
  </si>
  <si>
    <t xml:space="preserve">Passeig de Maragall</t>
  </si>
  <si>
    <t xml:space="preserve">https://www.google.com/maps/@?api=1&amp;map_action=pano&amp;viewpoint=41.4188636979174,2.1806003659059</t>
  </si>
  <si>
    <t xml:space="preserve">rd_172</t>
  </si>
  <si>
    <t xml:space="preserve">https://www.google.com/maps/@?api=1&amp;map_action=pano&amp;viewpoint=41.414616178106,2.18681962870801</t>
  </si>
  <si>
    <t xml:space="preserve">rd_179</t>
  </si>
  <si>
    <t xml:space="preserve">Carrer del Bisbe Català</t>
  </si>
  <si>
    <t xml:space="preserve">https://www.google.com/maps/@?api=1&amp;map_action=pano&amp;viewpoint=41.3955269391329,2.11380053013668</t>
  </si>
  <si>
    <t xml:space="preserve">rd_182</t>
  </si>
  <si>
    <t xml:space="preserve">https://www.google.com/maps/@?api=1&amp;map_action=pano&amp;viewpoint=41.4121623956812,2.18680527112992</t>
  </si>
  <si>
    <t xml:space="preserve">rd_184</t>
  </si>
  <si>
    <t xml:space="preserve">Carrer de Santander</t>
  </si>
  <si>
    <t xml:space="preserve">https://www.google.com/maps/@?api=1&amp;map_action=pano&amp;viewpoint=41.4332693227227,2.20686714944672</t>
  </si>
  <si>
    <t xml:space="preserve">cyc_5</t>
  </si>
  <si>
    <t xml:space="preserve">https://www.google.com/maps/@?api=1&amp;map_action=pano&amp;viewpoint=41.408222688871,2.20180601803758</t>
  </si>
  <si>
    <t xml:space="preserve">cyc_11</t>
  </si>
  <si>
    <t xml:space="preserve">https://www.google.com/maps/@?api=1&amp;map_action=pano&amp;viewpoint=41.422572785804,2.19162149713548</t>
  </si>
  <si>
    <t xml:space="preserve">cyc_20</t>
  </si>
  <si>
    <t xml:space="preserve">https://www.google.com/maps/@?api=1&amp;map_action=pano&amp;viewpoint=41.389289153184,2.16858322777501</t>
  </si>
  <si>
    <t xml:space="preserve">cyc_22</t>
  </si>
  <si>
    <t xml:space="preserve">https://www.google.com/maps/@?api=1&amp;map_action=pano&amp;viewpoint=41.3921033193577,2.13506480300112</t>
  </si>
  <si>
    <t xml:space="preserve">cyc_39</t>
  </si>
  <si>
    <t xml:space="preserve">https://www.google.com/maps/@?api=1&amp;map_action=pano&amp;viewpoint=41.3911952045927,2.16919711866135</t>
  </si>
  <si>
    <t xml:space="preserve">cyc_42</t>
  </si>
  <si>
    <t xml:space="preserve">https://www.google.com/maps/@?api=1&amp;map_action=pano&amp;viewpoint=41.3908927177552,2.17174332050109</t>
  </si>
  <si>
    <t xml:space="preserve">cyc_48</t>
  </si>
  <si>
    <t xml:space="preserve">https://www.google.com/maps/@?api=1&amp;map_action=pano&amp;viewpoint=41.3954154030751,2.16577516348601</t>
  </si>
  <si>
    <t xml:space="preserve">cyc_52</t>
  </si>
  <si>
    <t xml:space="preserve">https://www.google.com/maps/@?api=1&amp;map_action=pano&amp;viewpoint=41.3900880745676,2.1728293646673</t>
  </si>
  <si>
    <t xml:space="preserve">cyc_55</t>
  </si>
  <si>
    <t xml:space="preserve">https://www.google.com/maps/@?api=1&amp;map_action=pano&amp;viewpoint=41.4014161763689,2.17483762057556</t>
  </si>
  <si>
    <t xml:space="preserve">cyc_77</t>
  </si>
  <si>
    <t xml:space="preserve">https://www.google.com/maps/@?api=1&amp;map_action=pano&amp;viewpoint=41.4470711439428,2.19552000776185</t>
  </si>
  <si>
    <t xml:space="preserve">cyc_83</t>
  </si>
  <si>
    <t xml:space="preserve">https://www.google.com/maps/@?api=1&amp;map_action=pano&amp;viewpoint=41.448838165109,2.20054683768457</t>
  </si>
  <si>
    <t xml:space="preserve">cyc_84</t>
  </si>
  <si>
    <t xml:space="preserve">https://www.google.com/maps/@?api=1&amp;map_action=pano&amp;viewpoint=41.4487358887718,2.20067059983555</t>
  </si>
  <si>
    <t xml:space="preserve">cyc_85</t>
  </si>
  <si>
    <t xml:space="preserve">https://www.google.com/maps/@?api=1&amp;map_action=pano&amp;viewpoint=41.3980549178441,2.15350447965016</t>
  </si>
  <si>
    <t xml:space="preserve">cyc_94</t>
  </si>
  <si>
    <t xml:space="preserve">https://www.google.com/maps/@?api=1&amp;map_action=pano&amp;viewpoint=41.3918503093856,2.1181081156849</t>
  </si>
  <si>
    <t xml:space="preserve">cyc_102</t>
  </si>
  <si>
    <t xml:space="preserve">https://www.google.com/maps/@?api=1&amp;map_action=pano&amp;viewpoint=41.4007049463821,2.18328430356477</t>
  </si>
  <si>
    <t xml:space="preserve">cyc_107</t>
  </si>
  <si>
    <t xml:space="preserve">https://www.google.com/maps/@?api=1&amp;map_action=pano&amp;viewpoint=41.4074294703029,2.20123659882753</t>
  </si>
  <si>
    <t xml:space="preserve">cyc_113</t>
  </si>
  <si>
    <t xml:space="preserve">https://www.google.com/maps/@?api=1&amp;map_action=pano&amp;viewpoint=41.4035262571911,2.21622296646532</t>
  </si>
  <si>
    <t xml:space="preserve">cyc_121</t>
  </si>
  <si>
    <t xml:space="preserve">https://www.google.com/maps/@?api=1&amp;map_action=pano&amp;viewpoint=41.3449332207542,2.14442066241651</t>
  </si>
  <si>
    <t xml:space="preserve">cyc_137</t>
  </si>
  <si>
    <t xml:space="preserve">https://www.google.com/maps/@?api=1&amp;map_action=pano&amp;viewpoint=41.4076023769946,2.18556578415242</t>
  </si>
  <si>
    <t xml:space="preserve">cyc_151</t>
  </si>
  <si>
    <t xml:space="preserve">https://www.google.com/maps/@?api=1&amp;map_action=pano&amp;viewpoint=41.4002430107106,2.17573436310855</t>
  </si>
  <si>
    <t xml:space="preserve">cyc_154</t>
  </si>
  <si>
    <t xml:space="preserve">https://www.google.com/maps/@?api=1&amp;map_action=pano&amp;viewpoint=41.4001220661327,2.18224488410548</t>
  </si>
  <si>
    <t xml:space="preserve">cyc_155</t>
  </si>
  <si>
    <t xml:space="preserve">https://www.google.com/maps/@?api=1&amp;map_action=pano&amp;viewpoint=41.4145277967553,2.18689407556009</t>
  </si>
  <si>
    <t xml:space="preserve">cyc_160</t>
  </si>
  <si>
    <t xml:space="preserve">https://www.google.com/maps/@?api=1&amp;map_action=pano&amp;viewpoint=41.4012879756707,2.18385420017918</t>
  </si>
  <si>
    <t xml:space="preserve">cyc_164</t>
  </si>
  <si>
    <t xml:space="preserve">https://www.google.com/maps/@?api=1&amp;map_action=pano&amp;viewpoint=41.4013870863283,2.17723270686373</t>
  </si>
  <si>
    <t xml:space="preserve">cyc_168</t>
  </si>
  <si>
    <t xml:space="preserve">https://www.google.com/maps/@?api=1&amp;map_action=pano&amp;viewpoint=41.3988261196837,2.18789331430703</t>
  </si>
  <si>
    <t xml:space="preserve">cyc_177</t>
  </si>
  <si>
    <t xml:space="preserve">https://www.google.com/maps/@?api=1&amp;map_action=pano&amp;viewpoint=41.4171875976844,2.19134062805882</t>
  </si>
  <si>
    <t xml:space="preserve">cyc_184</t>
  </si>
  <si>
    <t xml:space="preserve">https://www.google.com/maps/@?api=1&amp;map_action=pano&amp;viewpoint=41.3893646004109,2.16791234067312</t>
  </si>
  <si>
    <t xml:space="preserve">cyc_194</t>
  </si>
  <si>
    <t xml:space="preserve">https://www.google.com/maps/@?api=1&amp;map_action=pano&amp;viewpoint=41.3641925525895,2.1362493253479</t>
  </si>
  <si>
    <t xml:space="preserve">cyc_195</t>
  </si>
  <si>
    <t xml:space="preserve">https://www.google.com/maps/@?api=1&amp;map_action=pano&amp;viewpoint=41.3444059092745,2.13562914571777</t>
  </si>
  <si>
    <t xml:space="preserve">cyc_196</t>
  </si>
  <si>
    <t xml:space="preserve">https://www.google.com/maps/@?api=1&amp;map_action=pano&amp;viewpoint=41.3993411891716,2.17422701975385</t>
  </si>
  <si>
    <t xml:space="preserve">cyc_198</t>
  </si>
  <si>
    <t xml:space="preserve">https://www.google.com/maps/@?api=1&amp;map_action=pano&amp;viewpoint=41.3979820198114,2.17602102222098</t>
  </si>
  <si>
    <t xml:space="preserve">cyc_200</t>
  </si>
  <si>
    <t xml:space="preserve">https://www.google.com/maps/@?api=1&amp;map_action=pano&amp;viewpoint=41.4400762022703,2.1910412550804</t>
  </si>
  <si>
    <t xml:space="preserve">cyc_226</t>
  </si>
  <si>
    <t xml:space="preserve">https://www.google.com/maps/@?api=1&amp;map_action=pano&amp;viewpoint=41.4099241163192,2.18053725727958</t>
  </si>
  <si>
    <t xml:space="preserve">cyc_238</t>
  </si>
  <si>
    <t xml:space="preserve">https://www.google.com/maps/@?api=1&amp;map_action=pano&amp;viewpoint=41.407757131018,2.18120059362181</t>
  </si>
  <si>
    <t xml:space="preserve">cyc_249</t>
  </si>
  <si>
    <t xml:space="preserve">https://www.google.com/maps/@?api=1&amp;map_action=pano&amp;viewpoint=41.3977197470579,2.13345841619683</t>
  </si>
  <si>
    <t xml:space="preserve">cyc_252</t>
  </si>
  <si>
    <t xml:space="preserve">https://www.google.com/maps/@?api=1&amp;map_action=pano&amp;viewpoint=41.3431475438772,2.13896830009386</t>
  </si>
  <si>
    <t xml:space="preserve">cyc_255</t>
  </si>
  <si>
    <t xml:space="preserve">https://www.google.com/maps/@?api=1&amp;map_action=pano&amp;viewpoint=41.4420771938399,2.19307605001265</t>
  </si>
  <si>
    <t xml:space="preserve">cyc_257</t>
  </si>
  <si>
    <t xml:space="preserve">https://www.google.com/maps/@?api=1&amp;map_action=pano&amp;viewpoint=41.3846157648093,2.11125968469779</t>
  </si>
  <si>
    <t xml:space="preserve">cyc_272</t>
  </si>
  <si>
    <t xml:space="preserve">https://www.google.com/maps/@?api=1&amp;map_action=pano&amp;viewpoint=41.3885337256581,2.15558806515497</t>
  </si>
  <si>
    <t xml:space="preserve">cyc_277</t>
  </si>
  <si>
    <t xml:space="preserve">https://www.google.com/maps/@?api=1&amp;map_action=pano&amp;viewpoint=41.3992312249409,2.16987888782357</t>
  </si>
  <si>
    <t xml:space="preserve">cyc_280</t>
  </si>
  <si>
    <t xml:space="preserve">https://www.google.com/maps/@?api=1&amp;map_action=pano&amp;viewpoint=41.429002626128,2.19553412938093</t>
  </si>
  <si>
    <t xml:space="preserve">cyc_286</t>
  </si>
  <si>
    <t xml:space="preserve">https://www.google.com/maps/@?api=1&amp;map_action=pano&amp;viewpoint=41.3864783226059,2.19577597079565</t>
  </si>
  <si>
    <t xml:space="preserve">cyc_288</t>
  </si>
  <si>
    <t xml:space="preserve">https://www.google.com/maps/@?api=1&amp;map_action=pano&amp;viewpoint=41.3852080700186,2.19640965274747</t>
  </si>
  <si>
    <t xml:space="preserve">cyc_310</t>
  </si>
  <si>
    <t xml:space="preserve">https://www.google.com/maps/@?api=1&amp;map_action=pano&amp;viewpoint=41.3539688726619,2.14365882948277</t>
  </si>
  <si>
    <t xml:space="preserve">cyc_314</t>
  </si>
  <si>
    <t xml:space="preserve">https://www.google.com/maps/@?api=1&amp;map_action=pano&amp;viewpoint=41.4054054479542,2.16300071907666</t>
  </si>
  <si>
    <t xml:space="preserve">cyc_319</t>
  </si>
  <si>
    <t xml:space="preserve">https://www.google.com/maps/@?api=1&amp;map_action=pano&amp;viewpoint=41.3825845822439,2.14759151837303</t>
  </si>
  <si>
    <t xml:space="preserve">cyc_326</t>
  </si>
  <si>
    <t xml:space="preserve">https://www.google.com/maps/@?api=1&amp;map_action=pano&amp;viewpoint=41.402859819436,2.18476935383727</t>
  </si>
  <si>
    <t xml:space="preserve">cyc_327</t>
  </si>
  <si>
    <t xml:space="preserve">https://www.google.com/maps/@?api=1&amp;map_action=pano&amp;viewpoint=41.401104673069,2.17739842332011</t>
  </si>
  <si>
    <t xml:space="preserve">cyc_330</t>
  </si>
  <si>
    <t xml:space="preserve">https://www.google.com/maps/@?api=1&amp;map_action=pano&amp;viewpoint=41.4035600847655,2.16133276760954</t>
  </si>
  <si>
    <t xml:space="preserve">cyc_335</t>
  </si>
  <si>
    <t xml:space="preserve">https://www.google.com/maps/@?api=1&amp;map_action=pano&amp;viewpoint=41.427734496348,2.14839188390368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</si>
</sst>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32</v>
      </c>
      <c r="C2" t="n">
        <v>32</v>
      </c>
    </row>
    <row r="3">
      <c r="A3" t="s">
        <v>4</v>
      </c>
      <c r="B3" t="n">
        <v>358</v>
      </c>
      <c r="C3" t="n">
        <v>50</v>
      </c>
    </row>
    <row r="4">
      <c r="A4" t="s">
        <v>5</v>
      </c>
      <c r="B4" t="n">
        <v>186</v>
      </c>
      <c r="C4" t="n">
        <v>50</v>
      </c>
    </row>
    <row r="5">
      <c r="A5" t="s">
        <v>6</v>
      </c>
      <c r="B5" t="n">
        <v>336</v>
      </c>
      <c r="C5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0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>
      <c r="A2" t="s">
        <v>18</v>
      </c>
      <c r="B2" t="s">
        <v>3</v>
      </c>
      <c r="C2" t="s">
        <v>19</v>
      </c>
      <c r="D2" t="s">
        <v>20</v>
      </c>
      <c r="E2" t="n">
        <v>182.602476203386</v>
      </c>
      <c r="F2" t="n">
        <v>2.17667140537315</v>
      </c>
      <c r="G2" t="n">
        <v>41.3866546374696</v>
      </c>
      <c r="H2" t="s">
        <v>21</v>
      </c>
      <c r="I2" s="1" t="str">
        <f>HYPERLINK("https://www.google.com/maps/@?api=1&amp;map_action=pano&amp;viewpoint=41.3866546374696,2.17667140537315","Open GSV")</f>
      </c>
      <c r="J2" t="s">
        <v>22</v>
      </c>
      <c r="K2" t="s">
        <v>22</v>
      </c>
      <c r="L2" t="s">
        <v>22</v>
      </c>
    </row>
    <row r="3">
      <c r="A3" t="s">
        <v>18</v>
      </c>
      <c r="B3" t="s">
        <v>3</v>
      </c>
      <c r="C3" t="s">
        <v>23</v>
      </c>
      <c r="D3" t="s">
        <v>24</v>
      </c>
      <c r="E3" t="n">
        <v>57.5393409249722</v>
      </c>
      <c r="F3" t="n">
        <v>2.189055035721</v>
      </c>
      <c r="G3" t="n">
        <v>41.4017525715515</v>
      </c>
      <c r="H3" t="s">
        <v>25</v>
      </c>
      <c r="I3" s="1" t="str">
        <f>HYPERLINK("https://www.google.com/maps/@?api=1&amp;map_action=pano&amp;viewpoint=41.4017525715515,2.189055035721","Open GSV")</f>
      </c>
      <c r="J3" t="s">
        <v>22</v>
      </c>
      <c r="K3" t="s">
        <v>22</v>
      </c>
      <c r="L3" t="s">
        <v>22</v>
      </c>
    </row>
    <row r="4">
      <c r="A4" t="s">
        <v>18</v>
      </c>
      <c r="B4" t="s">
        <v>3</v>
      </c>
      <c r="C4" t="s">
        <v>26</v>
      </c>
      <c r="D4" t="s">
        <v>27</v>
      </c>
      <c r="E4" t="n">
        <v>32.0132372825739</v>
      </c>
      <c r="F4" t="n">
        <v>2.1641113446417</v>
      </c>
      <c r="G4" t="n">
        <v>41.4105587510428</v>
      </c>
      <c r="H4" t="s">
        <v>28</v>
      </c>
      <c r="I4" s="1" t="str">
        <f>HYPERLINK("https://www.google.com/maps/@?api=1&amp;map_action=pano&amp;viewpoint=41.4105587510428,2.1641113446417","Open GSV")</f>
      </c>
      <c r="J4" t="s">
        <v>22</v>
      </c>
      <c r="K4" t="s">
        <v>22</v>
      </c>
      <c r="L4" t="s">
        <v>22</v>
      </c>
    </row>
    <row r="5">
      <c r="A5" t="s">
        <v>18</v>
      </c>
      <c r="B5" t="s">
        <v>3</v>
      </c>
      <c r="C5" t="s">
        <v>29</v>
      </c>
      <c r="D5" t="s">
        <v>30</v>
      </c>
      <c r="E5" t="n">
        <v>66.7726169691693</v>
      </c>
      <c r="F5" t="n">
        <v>2.19112767159596</v>
      </c>
      <c r="G5" t="n">
        <v>41.3783827992123</v>
      </c>
      <c r="H5" t="s">
        <v>31</v>
      </c>
      <c r="I5" s="1" t="str">
        <f>HYPERLINK("https://www.google.com/maps/@?api=1&amp;map_action=pano&amp;viewpoint=41.3783827992123,2.19112767159596","Open GSV")</f>
      </c>
      <c r="J5" t="s">
        <v>22</v>
      </c>
      <c r="K5" t="s">
        <v>22</v>
      </c>
      <c r="L5" t="s">
        <v>22</v>
      </c>
    </row>
    <row r="6">
      <c r="A6" t="s">
        <v>18</v>
      </c>
      <c r="B6" t="s">
        <v>3</v>
      </c>
      <c r="C6" t="s">
        <v>32</v>
      </c>
      <c r="D6" t="s">
        <v>33</v>
      </c>
      <c r="E6" t="n">
        <v>123.061968338554</v>
      </c>
      <c r="F6" t="n">
        <v>2.12811162228376</v>
      </c>
      <c r="G6" t="n">
        <v>41.3798231600989</v>
      </c>
      <c r="H6" t="s">
        <v>34</v>
      </c>
      <c r="I6" s="1" t="str">
        <f>HYPERLINK("https://www.google.com/maps/@?api=1&amp;map_action=pano&amp;viewpoint=41.3798231600989,2.12811162228376","Open GSV")</f>
      </c>
      <c r="J6" t="s">
        <v>22</v>
      </c>
      <c r="K6" t="s">
        <v>22</v>
      </c>
      <c r="L6" t="s">
        <v>22</v>
      </c>
    </row>
    <row r="7">
      <c r="A7" t="s">
        <v>18</v>
      </c>
      <c r="B7" t="s">
        <v>3</v>
      </c>
      <c r="C7" t="s">
        <v>35</v>
      </c>
      <c r="D7" t="s">
        <v>36</v>
      </c>
      <c r="E7" t="n">
        <v>90.5709982120072</v>
      </c>
      <c r="F7" t="n">
        <v>2.17636293047648</v>
      </c>
      <c r="G7" t="n">
        <v>41.3784676051548</v>
      </c>
      <c r="H7" t="s">
        <v>37</v>
      </c>
      <c r="I7" s="1" t="str">
        <f>HYPERLINK("https://www.google.com/maps/@?api=1&amp;map_action=pano&amp;viewpoint=41.3784676051548,2.17636293047648","Open GSV")</f>
      </c>
      <c r="J7" t="s">
        <v>22</v>
      </c>
      <c r="K7" t="s">
        <v>22</v>
      </c>
      <c r="L7" t="s">
        <v>22</v>
      </c>
    </row>
    <row r="8">
      <c r="A8" t="s">
        <v>18</v>
      </c>
      <c r="B8" t="s">
        <v>3</v>
      </c>
      <c r="C8" t="s">
        <v>38</v>
      </c>
      <c r="D8" t="s">
        <v>39</v>
      </c>
      <c r="E8" t="n">
        <v>123.979571161993</v>
      </c>
      <c r="F8" t="n">
        <v>2.17604535572138</v>
      </c>
      <c r="G8" t="n">
        <v>41.3821950807068</v>
      </c>
      <c r="H8" t="s">
        <v>40</v>
      </c>
      <c r="I8" s="1" t="str">
        <f>HYPERLINK("https://www.google.com/maps/@?api=1&amp;map_action=pano&amp;viewpoint=41.3821950807068,2.17604535572138","Open GSV")</f>
      </c>
      <c r="J8" t="s">
        <v>22</v>
      </c>
      <c r="K8" t="s">
        <v>22</v>
      </c>
      <c r="L8" t="s">
        <v>22</v>
      </c>
    </row>
    <row r="9">
      <c r="A9" t="s">
        <v>18</v>
      </c>
      <c r="B9" t="s">
        <v>3</v>
      </c>
      <c r="C9" t="s">
        <v>41</v>
      </c>
      <c r="D9" t="s">
        <v>42</v>
      </c>
      <c r="E9" t="n">
        <v>51.8151618221028</v>
      </c>
      <c r="F9" t="n">
        <v>2.19011333218166</v>
      </c>
      <c r="G9" t="n">
        <v>41.4321226499905</v>
      </c>
      <c r="H9" t="s">
        <v>43</v>
      </c>
      <c r="I9" s="1" t="str">
        <f>HYPERLINK("https://www.google.com/maps/@?api=1&amp;map_action=pano&amp;viewpoint=41.4321226499905,2.19011333218166","Open GSV")</f>
      </c>
      <c r="J9" t="s">
        <v>22</v>
      </c>
      <c r="K9" t="s">
        <v>22</v>
      </c>
      <c r="L9" t="s">
        <v>22</v>
      </c>
    </row>
    <row r="10">
      <c r="A10" t="s">
        <v>18</v>
      </c>
      <c r="B10" t="s">
        <v>3</v>
      </c>
      <c r="C10" t="s">
        <v>44</v>
      </c>
      <c r="D10" t="s">
        <v>45</v>
      </c>
      <c r="E10" t="n">
        <v>27.9378441074536</v>
      </c>
      <c r="F10" t="n">
        <v>2.1394730732443</v>
      </c>
      <c r="G10" t="n">
        <v>41.3776560711956</v>
      </c>
      <c r="H10" t="s">
        <v>46</v>
      </c>
      <c r="I10" s="1" t="str">
        <f>HYPERLINK("https://www.google.com/maps/@?api=1&amp;map_action=pano&amp;viewpoint=41.3776560711956,2.1394730732443","Open GSV")</f>
      </c>
      <c r="J10" t="s">
        <v>22</v>
      </c>
      <c r="K10" t="s">
        <v>22</v>
      </c>
      <c r="L10" t="s">
        <v>22</v>
      </c>
    </row>
    <row r="11">
      <c r="A11" t="s">
        <v>18</v>
      </c>
      <c r="B11" t="s">
        <v>3</v>
      </c>
      <c r="C11" t="s">
        <v>47</v>
      </c>
      <c r="D11" t="s">
        <v>48</v>
      </c>
      <c r="E11" t="n">
        <v>146.342620881007</v>
      </c>
      <c r="F11" t="n">
        <v>2.13338184419135</v>
      </c>
      <c r="G11" t="n">
        <v>41.3761086965522</v>
      </c>
      <c r="H11" t="s">
        <v>49</v>
      </c>
      <c r="I11" s="1" t="str">
        <f>HYPERLINK("https://www.google.com/maps/@?api=1&amp;map_action=pano&amp;viewpoint=41.3761086965522,2.13338184419135","Open GSV")</f>
      </c>
      <c r="J11" t="s">
        <v>22</v>
      </c>
      <c r="K11" t="s">
        <v>22</v>
      </c>
      <c r="L11" t="s">
        <v>22</v>
      </c>
    </row>
    <row r="12">
      <c r="A12" t="s">
        <v>18</v>
      </c>
      <c r="B12" t="s">
        <v>3</v>
      </c>
      <c r="C12" t="s">
        <v>50</v>
      </c>
      <c r="D12" t="s">
        <v>51</v>
      </c>
      <c r="E12" t="n">
        <v>54.4568424436042</v>
      </c>
      <c r="F12" t="n">
        <v>2.16839795269601</v>
      </c>
      <c r="G12" t="n">
        <v>41.3794530103211</v>
      </c>
      <c r="H12" t="s">
        <v>52</v>
      </c>
      <c r="I12" s="1" t="str">
        <f>HYPERLINK("https://www.google.com/maps/@?api=1&amp;map_action=pano&amp;viewpoint=41.3794530103211,2.16839795269601","Open GSV")</f>
      </c>
      <c r="J12" t="s">
        <v>22</v>
      </c>
      <c r="K12" t="s">
        <v>22</v>
      </c>
      <c r="L12" t="s">
        <v>22</v>
      </c>
    </row>
    <row r="13">
      <c r="A13" t="s">
        <v>18</v>
      </c>
      <c r="B13" t="s">
        <v>3</v>
      </c>
      <c r="C13" t="s">
        <v>53</v>
      </c>
      <c r="D13" t="s">
        <v>54</v>
      </c>
      <c r="E13" t="n">
        <v>98.0744079034123</v>
      </c>
      <c r="F13" t="n">
        <v>2.1605078849586</v>
      </c>
      <c r="G13" t="n">
        <v>41.4315737785</v>
      </c>
      <c r="H13" t="s">
        <v>55</v>
      </c>
      <c r="I13" s="1" t="str">
        <f>HYPERLINK("https://www.google.com/maps/@?api=1&amp;map_action=pano&amp;viewpoint=41.4315737785,2.1605078849586","Open GSV")</f>
      </c>
      <c r="J13" t="s">
        <v>22</v>
      </c>
      <c r="K13" t="s">
        <v>22</v>
      </c>
      <c r="L13" t="s">
        <v>22</v>
      </c>
    </row>
    <row r="14">
      <c r="A14" t="s">
        <v>18</v>
      </c>
      <c r="B14" t="s">
        <v>3</v>
      </c>
      <c r="C14" t="s">
        <v>56</v>
      </c>
      <c r="D14" t="s">
        <v>57</v>
      </c>
      <c r="E14" t="n">
        <v>134.608633860452</v>
      </c>
      <c r="F14" t="n">
        <v>2.09590802802496</v>
      </c>
      <c r="G14" t="n">
        <v>41.4274526353428</v>
      </c>
      <c r="H14" t="s">
        <v>58</v>
      </c>
      <c r="I14" s="1" t="str">
        <f>HYPERLINK("https://www.google.com/maps/@?api=1&amp;map_action=pano&amp;viewpoint=41.4274526353428,2.09590802802496","Open GSV")</f>
      </c>
      <c r="J14" t="s">
        <v>22</v>
      </c>
      <c r="K14" t="s">
        <v>22</v>
      </c>
      <c r="L14" t="s">
        <v>22</v>
      </c>
    </row>
    <row r="15">
      <c r="A15" t="s">
        <v>18</v>
      </c>
      <c r="B15" t="s">
        <v>3</v>
      </c>
      <c r="C15" t="s">
        <v>59</v>
      </c>
      <c r="D15" t="s">
        <v>60</v>
      </c>
      <c r="E15" t="n">
        <v>110.711645609051</v>
      </c>
      <c r="F15" t="n">
        <v>2.11936364466755</v>
      </c>
      <c r="G15" t="n">
        <v>41.4013844065903</v>
      </c>
      <c r="H15" t="s">
        <v>61</v>
      </c>
      <c r="I15" s="1" t="str">
        <f>HYPERLINK("https://www.google.com/maps/@?api=1&amp;map_action=pano&amp;viewpoint=41.4013844065903,2.11936364466755","Open GSV")</f>
      </c>
      <c r="J15" t="s">
        <v>22</v>
      </c>
      <c r="K15" t="s">
        <v>22</v>
      </c>
      <c r="L15" t="s">
        <v>22</v>
      </c>
    </row>
    <row r="16">
      <c r="A16" t="s">
        <v>18</v>
      </c>
      <c r="B16" t="s">
        <v>3</v>
      </c>
      <c r="C16" t="s">
        <v>62</v>
      </c>
      <c r="D16" t="s">
        <v>63</v>
      </c>
      <c r="E16" t="n">
        <v>96.1447412877629</v>
      </c>
      <c r="F16" t="n">
        <v>2.16243874921107</v>
      </c>
      <c r="G16" t="n">
        <v>41.4269118911412</v>
      </c>
      <c r="H16" t="s">
        <v>64</v>
      </c>
      <c r="I16" s="1" t="str">
        <f>HYPERLINK("https://www.google.com/maps/@?api=1&amp;map_action=pano&amp;viewpoint=41.4269118911412,2.16243874921107","Open GSV")</f>
      </c>
      <c r="J16" t="s">
        <v>22</v>
      </c>
      <c r="K16" t="s">
        <v>22</v>
      </c>
      <c r="L16" t="s">
        <v>22</v>
      </c>
    </row>
    <row r="17">
      <c r="A17" t="s">
        <v>18</v>
      </c>
      <c r="B17" t="s">
        <v>3</v>
      </c>
      <c r="C17" t="s">
        <v>65</v>
      </c>
      <c r="D17" t="s">
        <v>66</v>
      </c>
      <c r="E17" t="n">
        <v>15.5486134516816</v>
      </c>
      <c r="F17" t="n">
        <v>2.15037615831385</v>
      </c>
      <c r="G17" t="n">
        <v>41.4209656780566</v>
      </c>
      <c r="H17" t="s">
        <v>67</v>
      </c>
      <c r="I17" s="1" t="str">
        <f>HYPERLINK("https://www.google.com/maps/@?api=1&amp;map_action=pano&amp;viewpoint=41.4209656780566,2.15037615831385","Open GSV")</f>
      </c>
      <c r="J17" t="s">
        <v>22</v>
      </c>
      <c r="K17" t="s">
        <v>22</v>
      </c>
      <c r="L17" t="s">
        <v>22</v>
      </c>
    </row>
    <row r="18">
      <c r="A18" t="s">
        <v>18</v>
      </c>
      <c r="B18" t="s">
        <v>3</v>
      </c>
      <c r="C18" t="s">
        <v>68</v>
      </c>
      <c r="D18" t="s">
        <v>24</v>
      </c>
      <c r="E18" t="n">
        <v>17.3566446587099</v>
      </c>
      <c r="F18" t="n">
        <v>2.18874085006794</v>
      </c>
      <c r="G18" t="n">
        <v>41.4019909938462</v>
      </c>
      <c r="H18" t="s">
        <v>69</v>
      </c>
      <c r="I18" s="1" t="str">
        <f>HYPERLINK("https://www.google.com/maps/@?api=1&amp;map_action=pano&amp;viewpoint=41.4019909938462,2.18874085006794","Open GSV")</f>
      </c>
      <c r="J18" t="s">
        <v>22</v>
      </c>
      <c r="K18" t="s">
        <v>22</v>
      </c>
      <c r="L18" t="s">
        <v>22</v>
      </c>
    </row>
    <row r="19">
      <c r="A19" t="s">
        <v>18</v>
      </c>
      <c r="B19" t="s">
        <v>3</v>
      </c>
      <c r="C19" t="s">
        <v>70</v>
      </c>
      <c r="D19" t="s">
        <v>71</v>
      </c>
      <c r="E19" t="n">
        <v>113.457522273136</v>
      </c>
      <c r="F19" t="n">
        <v>2.12892479393283</v>
      </c>
      <c r="G19" t="n">
        <v>41.3764458522027</v>
      </c>
      <c r="H19" t="s">
        <v>72</v>
      </c>
      <c r="I19" s="1" t="str">
        <f>HYPERLINK("https://www.google.com/maps/@?api=1&amp;map_action=pano&amp;viewpoint=41.3764458522027,2.12892479393283","Open GSV")</f>
      </c>
      <c r="J19" t="s">
        <v>22</v>
      </c>
      <c r="K19" t="s">
        <v>22</v>
      </c>
      <c r="L19" t="s">
        <v>22</v>
      </c>
    </row>
    <row r="20">
      <c r="A20" t="s">
        <v>18</v>
      </c>
      <c r="B20" t="s">
        <v>3</v>
      </c>
      <c r="C20" t="s">
        <v>73</v>
      </c>
      <c r="D20" t="s">
        <v>74</v>
      </c>
      <c r="E20" t="n">
        <v>69.101563198788</v>
      </c>
      <c r="F20" t="n">
        <v>2.13316793399356</v>
      </c>
      <c r="G20" t="n">
        <v>41.388471402815</v>
      </c>
      <c r="H20" t="s">
        <v>75</v>
      </c>
      <c r="I20" s="1" t="str">
        <f>HYPERLINK("https://www.google.com/maps/@?api=1&amp;map_action=pano&amp;viewpoint=41.388471402815,2.13316793399356","Open GSV")</f>
      </c>
      <c r="J20" t="s">
        <v>22</v>
      </c>
      <c r="K20" t="s">
        <v>22</v>
      </c>
      <c r="L20" t="s">
        <v>22</v>
      </c>
    </row>
    <row r="21">
      <c r="A21" t="s">
        <v>18</v>
      </c>
      <c r="B21" t="s">
        <v>3</v>
      </c>
      <c r="C21" t="s">
        <v>76</v>
      </c>
      <c r="D21" t="s">
        <v>77</v>
      </c>
      <c r="E21" t="n">
        <v>19.7659186000676</v>
      </c>
      <c r="F21" t="n">
        <v>2.12016817407754</v>
      </c>
      <c r="G21" t="n">
        <v>41.4014014912444</v>
      </c>
      <c r="H21" t="s">
        <v>78</v>
      </c>
      <c r="I21" s="1" t="str">
        <f>HYPERLINK("https://www.google.com/maps/@?api=1&amp;map_action=pano&amp;viewpoint=41.4014014912444,2.12016817407754","Open GSV")</f>
      </c>
      <c r="J21" t="s">
        <v>22</v>
      </c>
      <c r="K21" t="s">
        <v>22</v>
      </c>
      <c r="L21" t="s">
        <v>22</v>
      </c>
    </row>
    <row r="22">
      <c r="A22" t="s">
        <v>18</v>
      </c>
      <c r="B22" t="s">
        <v>3</v>
      </c>
      <c r="C22" t="s">
        <v>79</v>
      </c>
      <c r="D22" t="s">
        <v>80</v>
      </c>
      <c r="E22" t="n">
        <v>34.4613034942694</v>
      </c>
      <c r="F22" t="n">
        <v>2.17567354697364</v>
      </c>
      <c r="G22" t="n">
        <v>41.3817461250649</v>
      </c>
      <c r="H22" t="s">
        <v>81</v>
      </c>
      <c r="I22" s="1" t="str">
        <f>HYPERLINK("https://www.google.com/maps/@?api=1&amp;map_action=pano&amp;viewpoint=41.3817461250649,2.17567354697364","Open GSV")</f>
      </c>
      <c r="J22" t="s">
        <v>22</v>
      </c>
      <c r="K22" t="s">
        <v>22</v>
      </c>
      <c r="L22" t="s">
        <v>22</v>
      </c>
    </row>
    <row r="23">
      <c r="A23" t="s">
        <v>18</v>
      </c>
      <c r="B23" t="s">
        <v>3</v>
      </c>
      <c r="C23" t="s">
        <v>82</v>
      </c>
      <c r="D23" t="s">
        <v>83</v>
      </c>
      <c r="E23" t="n">
        <v>77.9031357376852</v>
      </c>
      <c r="F23" t="n">
        <v>2.11903406052398</v>
      </c>
      <c r="G23" t="n">
        <v>41.4008149203211</v>
      </c>
      <c r="H23" t="s">
        <v>84</v>
      </c>
      <c r="I23" s="1" t="str">
        <f>HYPERLINK("https://www.google.com/maps/@?api=1&amp;map_action=pano&amp;viewpoint=41.4008149203211,2.11903406052398","Open GSV")</f>
      </c>
      <c r="J23" t="s">
        <v>22</v>
      </c>
      <c r="K23" t="s">
        <v>22</v>
      </c>
      <c r="L23" t="s">
        <v>22</v>
      </c>
    </row>
    <row r="24">
      <c r="A24" t="s">
        <v>18</v>
      </c>
      <c r="B24" t="s">
        <v>3</v>
      </c>
      <c r="C24" t="s">
        <v>85</v>
      </c>
      <c r="D24" t="s">
        <v>86</v>
      </c>
      <c r="E24" t="n">
        <v>43.0760661875977</v>
      </c>
      <c r="F24" t="n">
        <v>2.17717279442093</v>
      </c>
      <c r="G24" t="n">
        <v>41.3828048021289</v>
      </c>
      <c r="H24" t="s">
        <v>87</v>
      </c>
      <c r="I24" s="1" t="str">
        <f>HYPERLINK("https://www.google.com/maps/@?api=1&amp;map_action=pano&amp;viewpoint=41.3828048021289,2.17717279442093","Open GSV")</f>
      </c>
      <c r="J24" t="s">
        <v>22</v>
      </c>
      <c r="K24" t="s">
        <v>22</v>
      </c>
      <c r="L24" t="s">
        <v>22</v>
      </c>
    </row>
    <row r="25">
      <c r="A25" t="s">
        <v>18</v>
      </c>
      <c r="B25" t="s">
        <v>3</v>
      </c>
      <c r="C25" t="s">
        <v>88</v>
      </c>
      <c r="D25" t="s">
        <v>86</v>
      </c>
      <c r="E25" t="n">
        <v>44.0208265038616</v>
      </c>
      <c r="F25" t="n">
        <v>2.17680282536592</v>
      </c>
      <c r="G25" t="n">
        <v>41.3824810986191</v>
      </c>
      <c r="H25" t="s">
        <v>89</v>
      </c>
      <c r="I25" s="1" t="str">
        <f>HYPERLINK("https://www.google.com/maps/@?api=1&amp;map_action=pano&amp;viewpoint=41.3824810986191,2.17680282536592","Open GSV")</f>
      </c>
      <c r="J25" t="s">
        <v>22</v>
      </c>
      <c r="K25" t="s">
        <v>22</v>
      </c>
      <c r="L25" t="s">
        <v>22</v>
      </c>
    </row>
    <row r="26">
      <c r="A26" t="s">
        <v>18</v>
      </c>
      <c r="B26" t="s">
        <v>3</v>
      </c>
      <c r="C26" t="s">
        <v>90</v>
      </c>
      <c r="D26"/>
      <c r="E26" t="n">
        <v>63.8631301328592</v>
      </c>
      <c r="F26" t="n">
        <v>2.17686011509199</v>
      </c>
      <c r="G26" t="n">
        <v>41.3827694594861</v>
      </c>
      <c r="H26" t="s">
        <v>91</v>
      </c>
      <c r="I26" s="1" t="str">
        <f>HYPERLINK("https://www.google.com/maps/@?api=1&amp;map_action=pano&amp;viewpoint=41.3827694594861,2.17686011509199","Open GSV")</f>
      </c>
      <c r="J26" t="s">
        <v>22</v>
      </c>
      <c r="K26" t="s">
        <v>22</v>
      </c>
      <c r="L26" t="s">
        <v>22</v>
      </c>
    </row>
    <row r="27">
      <c r="A27" t="s">
        <v>18</v>
      </c>
      <c r="B27" t="s">
        <v>3</v>
      </c>
      <c r="C27" t="s">
        <v>92</v>
      </c>
      <c r="D27"/>
      <c r="E27" t="n">
        <v>39.3592954077715</v>
      </c>
      <c r="F27" t="n">
        <v>2.16610536810706</v>
      </c>
      <c r="G27" t="n">
        <v>41.3795215164757</v>
      </c>
      <c r="H27" t="s">
        <v>93</v>
      </c>
      <c r="I27" s="1" t="str">
        <f>HYPERLINK("https://www.google.com/maps/@?api=1&amp;map_action=pano&amp;viewpoint=41.3795215164757,2.16610536810706","Open GSV")</f>
      </c>
      <c r="J27" t="s">
        <v>22</v>
      </c>
      <c r="K27" t="s">
        <v>22</v>
      </c>
      <c r="L27" t="s">
        <v>22</v>
      </c>
    </row>
    <row r="28">
      <c r="A28" t="s">
        <v>18</v>
      </c>
      <c r="B28" t="s">
        <v>3</v>
      </c>
      <c r="C28" t="s">
        <v>94</v>
      </c>
      <c r="D28" t="s">
        <v>95</v>
      </c>
      <c r="E28" t="n">
        <v>109.806801486326</v>
      </c>
      <c r="F28" t="n">
        <v>2.20702258572568</v>
      </c>
      <c r="G28" t="n">
        <v>41.4159629282493</v>
      </c>
      <c r="H28" t="s">
        <v>96</v>
      </c>
      <c r="I28" s="1" t="str">
        <f>HYPERLINK("https://www.google.com/maps/@?api=1&amp;map_action=pano&amp;viewpoint=41.4159629282493,2.20702258572568","Open GSV")</f>
      </c>
      <c r="J28" t="s">
        <v>22</v>
      </c>
      <c r="K28" t="s">
        <v>22</v>
      </c>
      <c r="L28" t="s">
        <v>22</v>
      </c>
    </row>
    <row r="29">
      <c r="A29" t="s">
        <v>18</v>
      </c>
      <c r="B29" t="s">
        <v>3</v>
      </c>
      <c r="C29" t="s">
        <v>97</v>
      </c>
      <c r="D29" t="s">
        <v>98</v>
      </c>
      <c r="E29" t="n">
        <v>69.6271317287237</v>
      </c>
      <c r="F29" t="n">
        <v>2.21577130751636</v>
      </c>
      <c r="G29" t="n">
        <v>41.4146797081391</v>
      </c>
      <c r="H29" t="s">
        <v>99</v>
      </c>
      <c r="I29" s="1" t="str">
        <f>HYPERLINK("https://www.google.com/maps/@?api=1&amp;map_action=pano&amp;viewpoint=41.4146797081391,2.21577130751636","Open GSV")</f>
      </c>
      <c r="J29" t="s">
        <v>22</v>
      </c>
      <c r="K29" t="s">
        <v>22</v>
      </c>
      <c r="L29" t="s">
        <v>22</v>
      </c>
    </row>
    <row r="30">
      <c r="A30" t="s">
        <v>18</v>
      </c>
      <c r="B30" t="s">
        <v>3</v>
      </c>
      <c r="C30" t="s">
        <v>100</v>
      </c>
      <c r="D30" t="s">
        <v>101</v>
      </c>
      <c r="E30" t="n">
        <v>44.3906176763022</v>
      </c>
      <c r="F30" t="n">
        <v>2.19863423046635</v>
      </c>
      <c r="G30" t="n">
        <v>41.4042657441605</v>
      </c>
      <c r="H30" t="s">
        <v>102</v>
      </c>
      <c r="I30" s="1" t="str">
        <f>HYPERLINK("https://www.google.com/maps/@?api=1&amp;map_action=pano&amp;viewpoint=41.4042657441605,2.19863423046635","Open GSV")</f>
      </c>
      <c r="J30" t="s">
        <v>22</v>
      </c>
      <c r="K30" t="s">
        <v>22</v>
      </c>
      <c r="L30" t="s">
        <v>22</v>
      </c>
    </row>
    <row r="31">
      <c r="A31" t="s">
        <v>18</v>
      </c>
      <c r="B31" t="s">
        <v>3</v>
      </c>
      <c r="C31" t="s">
        <v>103</v>
      </c>
      <c r="D31" t="s">
        <v>104</v>
      </c>
      <c r="E31" t="n">
        <v>23.346656120546</v>
      </c>
      <c r="F31" t="n">
        <v>2.20471269771175</v>
      </c>
      <c r="G31" t="n">
        <v>41.4385670435404</v>
      </c>
      <c r="H31" t="s">
        <v>105</v>
      </c>
      <c r="I31" s="1" t="str">
        <f>HYPERLINK("https://www.google.com/maps/@?api=1&amp;map_action=pano&amp;viewpoint=41.4385670435404,2.20471269771175","Open GSV")</f>
      </c>
      <c r="J31" t="s">
        <v>22</v>
      </c>
      <c r="K31" t="s">
        <v>22</v>
      </c>
      <c r="L31" t="s">
        <v>22</v>
      </c>
    </row>
    <row r="32">
      <c r="A32" t="s">
        <v>18</v>
      </c>
      <c r="B32" t="s">
        <v>3</v>
      </c>
      <c r="C32" t="s">
        <v>106</v>
      </c>
      <c r="D32" t="s">
        <v>107</v>
      </c>
      <c r="E32" t="n">
        <v>27.6763267078939</v>
      </c>
      <c r="F32" t="n">
        <v>2.16466490013929</v>
      </c>
      <c r="G32" t="n">
        <v>41.373613243916</v>
      </c>
      <c r="H32" t="s">
        <v>108</v>
      </c>
      <c r="I32" s="1" t="str">
        <f>HYPERLINK("https://www.google.com/maps/@?api=1&amp;map_action=pano&amp;viewpoint=41.373613243916,2.16466490013929","Open GSV")</f>
      </c>
      <c r="J32" t="s">
        <v>22</v>
      </c>
      <c r="K32" t="s">
        <v>22</v>
      </c>
      <c r="L32" t="s">
        <v>22</v>
      </c>
    </row>
    <row r="33">
      <c r="A33" t="s">
        <v>18</v>
      </c>
      <c r="B33" t="s">
        <v>3</v>
      </c>
      <c r="C33" t="s">
        <v>109</v>
      </c>
      <c r="D33" t="s">
        <v>110</v>
      </c>
      <c r="E33" t="n">
        <v>28.4086064561874</v>
      </c>
      <c r="F33" t="n">
        <v>2.14485941357807</v>
      </c>
      <c r="G33" t="n">
        <v>41.4109683611703</v>
      </c>
      <c r="H33" t="s">
        <v>111</v>
      </c>
      <c r="I33" s="1" t="str">
        <f>HYPERLINK("https://www.google.com/maps/@?api=1&amp;map_action=pano&amp;viewpoint=41.4109683611703,2.14485941357807","Open GSV")</f>
      </c>
      <c r="J33" t="s">
        <v>22</v>
      </c>
      <c r="K33" t="s">
        <v>22</v>
      </c>
      <c r="L33" t="s">
        <v>22</v>
      </c>
    </row>
    <row r="34">
      <c r="A34" t="s">
        <v>18</v>
      </c>
      <c r="B34" t="s">
        <v>4</v>
      </c>
      <c r="C34" t="s">
        <v>112</v>
      </c>
      <c r="D34" t="s">
        <v>113</v>
      </c>
      <c r="E34" t="n">
        <v>109.182824751611</v>
      </c>
      <c r="F34" t="n">
        <v>2.18822277701772</v>
      </c>
      <c r="G34" t="n">
        <v>41.4375030039142</v>
      </c>
      <c r="H34" t="s">
        <v>114</v>
      </c>
      <c r="I34" s="1" t="str">
        <f>HYPERLINK("https://www.google.com/maps/@?api=1&amp;map_action=pano&amp;viewpoint=41.4375030039142,2.18822277701772","Open GSV")</f>
      </c>
      <c r="J34" t="s">
        <v>22</v>
      </c>
      <c r="K34" t="s">
        <v>22</v>
      </c>
      <c r="L34" t="s">
        <v>22</v>
      </c>
    </row>
    <row r="35">
      <c r="A35" t="s">
        <v>18</v>
      </c>
      <c r="B35" t="s">
        <v>4</v>
      </c>
      <c r="C35" t="s">
        <v>115</v>
      </c>
      <c r="D35" t="s">
        <v>116</v>
      </c>
      <c r="E35" t="n">
        <v>252.777465085563</v>
      </c>
      <c r="F35" t="n">
        <v>2.16162433578729</v>
      </c>
      <c r="G35" t="n">
        <v>41.3999950047008</v>
      </c>
      <c r="H35" t="s">
        <v>117</v>
      </c>
      <c r="I35" s="1" t="str">
        <f>HYPERLINK("https://www.google.com/maps/@?api=1&amp;map_action=pano&amp;viewpoint=41.3999950047008,2.16162433578729","Open GSV")</f>
      </c>
      <c r="J35" t="s">
        <v>22</v>
      </c>
      <c r="K35" t="s">
        <v>22</v>
      </c>
      <c r="L35" t="s">
        <v>22</v>
      </c>
    </row>
    <row r="36">
      <c r="A36" t="s">
        <v>18</v>
      </c>
      <c r="B36" t="s">
        <v>4</v>
      </c>
      <c r="C36" t="s">
        <v>118</v>
      </c>
      <c r="D36" t="s">
        <v>119</v>
      </c>
      <c r="E36" t="n">
        <v>158.667947045511</v>
      </c>
      <c r="F36" t="n">
        <v>2.13675446416163</v>
      </c>
      <c r="G36" t="n">
        <v>41.4029070012773</v>
      </c>
      <c r="H36" t="s">
        <v>120</v>
      </c>
      <c r="I36" s="1" t="str">
        <f>HYPERLINK("https://www.google.com/maps/@?api=1&amp;map_action=pano&amp;viewpoint=41.4029070012773,2.13675446416163","Open GSV")</f>
      </c>
      <c r="J36" t="s">
        <v>22</v>
      </c>
      <c r="K36" t="s">
        <v>22</v>
      </c>
      <c r="L36" t="s">
        <v>22</v>
      </c>
    </row>
    <row r="37">
      <c r="A37" t="s">
        <v>18</v>
      </c>
      <c r="B37" t="s">
        <v>4</v>
      </c>
      <c r="C37" t="s">
        <v>121</v>
      </c>
      <c r="D37" t="s">
        <v>122</v>
      </c>
      <c r="E37" t="n">
        <v>182.849791354301</v>
      </c>
      <c r="F37" t="n">
        <v>2.17697870682224</v>
      </c>
      <c r="G37" t="n">
        <v>41.4347600369408</v>
      </c>
      <c r="H37" t="s">
        <v>123</v>
      </c>
      <c r="I37" s="1" t="str">
        <f>HYPERLINK("https://www.google.com/maps/@?api=1&amp;map_action=pano&amp;viewpoint=41.4347600369408,2.17697870682224","Open GSV")</f>
      </c>
      <c r="J37" t="s">
        <v>22</v>
      </c>
      <c r="K37" t="s">
        <v>22</v>
      </c>
      <c r="L37" t="s">
        <v>22</v>
      </c>
    </row>
    <row r="38">
      <c r="A38" t="s">
        <v>18</v>
      </c>
      <c r="B38" t="s">
        <v>4</v>
      </c>
      <c r="C38" t="s">
        <v>124</v>
      </c>
      <c r="D38" t="s">
        <v>125</v>
      </c>
      <c r="E38" t="n">
        <v>219.502442185498</v>
      </c>
      <c r="F38" t="n">
        <v>2.15847400890697</v>
      </c>
      <c r="G38" t="n">
        <v>41.4063050420468</v>
      </c>
      <c r="H38" t="s">
        <v>126</v>
      </c>
      <c r="I38" s="1" t="str">
        <f>HYPERLINK("https://www.google.com/maps/@?api=1&amp;map_action=pano&amp;viewpoint=41.4063050420468,2.15847400890697","Open GSV")</f>
      </c>
      <c r="J38" t="s">
        <v>22</v>
      </c>
      <c r="K38" t="s">
        <v>22</v>
      </c>
      <c r="L38" t="s">
        <v>22</v>
      </c>
    </row>
    <row r="39">
      <c r="A39" t="s">
        <v>18</v>
      </c>
      <c r="B39" t="s">
        <v>4</v>
      </c>
      <c r="C39" t="s">
        <v>127</v>
      </c>
      <c r="D39" t="s">
        <v>128</v>
      </c>
      <c r="E39" t="n">
        <v>77.2552313071323</v>
      </c>
      <c r="F39" t="n">
        <v>2.15735736508851</v>
      </c>
      <c r="G39" t="n">
        <v>41.4064488248863</v>
      </c>
      <c r="H39" t="s">
        <v>129</v>
      </c>
      <c r="I39" s="1" t="str">
        <f>HYPERLINK("https://www.google.com/maps/@?api=1&amp;map_action=pano&amp;viewpoint=41.4064488248863,2.15735736508851","Open GSV")</f>
      </c>
      <c r="J39" t="s">
        <v>22</v>
      </c>
      <c r="K39" t="s">
        <v>22</v>
      </c>
      <c r="L39" t="s">
        <v>22</v>
      </c>
    </row>
    <row r="40">
      <c r="A40" t="s">
        <v>18</v>
      </c>
      <c r="B40" t="s">
        <v>4</v>
      </c>
      <c r="C40" t="s">
        <v>130</v>
      </c>
      <c r="D40" t="s">
        <v>131</v>
      </c>
      <c r="E40" t="n">
        <v>217.557187314738</v>
      </c>
      <c r="F40" t="n">
        <v>2.16434367413072</v>
      </c>
      <c r="G40" t="n">
        <v>41.4067011531304</v>
      </c>
      <c r="H40" t="s">
        <v>132</v>
      </c>
      <c r="I40" s="1" t="str">
        <f>HYPERLINK("https://www.google.com/maps/@?api=1&amp;map_action=pano&amp;viewpoint=41.4067011531304,2.16434367413072","Open GSV")</f>
      </c>
      <c r="J40" t="s">
        <v>22</v>
      </c>
      <c r="K40" t="s">
        <v>22</v>
      </c>
      <c r="L40" t="s">
        <v>22</v>
      </c>
    </row>
    <row r="41">
      <c r="A41" t="s">
        <v>18</v>
      </c>
      <c r="B41" t="s">
        <v>4</v>
      </c>
      <c r="C41" t="s">
        <v>133</v>
      </c>
      <c r="D41" t="s">
        <v>134</v>
      </c>
      <c r="E41" t="n">
        <v>264.028894953674</v>
      </c>
      <c r="F41" t="n">
        <v>2.17425802505617</v>
      </c>
      <c r="G41" t="n">
        <v>41.4249587442864</v>
      </c>
      <c r="H41" t="s">
        <v>135</v>
      </c>
      <c r="I41" s="1" t="str">
        <f>HYPERLINK("https://www.google.com/maps/@?api=1&amp;map_action=pano&amp;viewpoint=41.4249587442864,2.17425802505617","Open GSV")</f>
      </c>
      <c r="J41" t="s">
        <v>22</v>
      </c>
      <c r="K41" t="s">
        <v>22</v>
      </c>
      <c r="L41" t="s">
        <v>22</v>
      </c>
    </row>
    <row r="42">
      <c r="A42" t="s">
        <v>18</v>
      </c>
      <c r="B42" t="s">
        <v>4</v>
      </c>
      <c r="C42" t="s">
        <v>136</v>
      </c>
      <c r="D42" t="s">
        <v>137</v>
      </c>
      <c r="E42" t="n">
        <v>63.2365115086605</v>
      </c>
      <c r="F42" t="n">
        <v>2.14886755068688</v>
      </c>
      <c r="G42" t="n">
        <v>41.4135164944258</v>
      </c>
      <c r="H42" t="s">
        <v>138</v>
      </c>
      <c r="I42" s="1" t="str">
        <f>HYPERLINK("https://www.google.com/maps/@?api=1&amp;map_action=pano&amp;viewpoint=41.4135164944258,2.14886755068688","Open GSV")</f>
      </c>
      <c r="J42" t="s">
        <v>22</v>
      </c>
      <c r="K42" t="s">
        <v>22</v>
      </c>
      <c r="L42" t="s">
        <v>22</v>
      </c>
    </row>
    <row r="43">
      <c r="A43" t="s">
        <v>18</v>
      </c>
      <c r="B43" t="s">
        <v>4</v>
      </c>
      <c r="C43" t="s">
        <v>139</v>
      </c>
      <c r="D43" t="s">
        <v>140</v>
      </c>
      <c r="E43" t="n">
        <v>37.9962723408398</v>
      </c>
      <c r="F43" t="n">
        <v>2.14667995946707</v>
      </c>
      <c r="G43" t="n">
        <v>41.413729603873</v>
      </c>
      <c r="H43" t="s">
        <v>141</v>
      </c>
      <c r="I43" s="1" t="str">
        <f>HYPERLINK("https://www.google.com/maps/@?api=1&amp;map_action=pano&amp;viewpoint=41.413729603873,2.14667995946707","Open GSV")</f>
      </c>
      <c r="J43" t="s">
        <v>22</v>
      </c>
      <c r="K43" t="s">
        <v>22</v>
      </c>
      <c r="L43" t="s">
        <v>22</v>
      </c>
    </row>
    <row r="44">
      <c r="A44" t="s">
        <v>18</v>
      </c>
      <c r="B44" t="s">
        <v>4</v>
      </c>
      <c r="C44" t="s">
        <v>142</v>
      </c>
      <c r="D44" t="s">
        <v>143</v>
      </c>
      <c r="E44" t="n">
        <v>69.336236858712</v>
      </c>
      <c r="F44" t="n">
        <v>2.17807664322693</v>
      </c>
      <c r="G44" t="n">
        <v>41.4283663938627</v>
      </c>
      <c r="H44" t="s">
        <v>144</v>
      </c>
      <c r="I44" s="1" t="str">
        <f>HYPERLINK("https://www.google.com/maps/@?api=1&amp;map_action=pano&amp;viewpoint=41.4283663938627,2.17807664322693","Open GSV")</f>
      </c>
      <c r="J44" t="s">
        <v>22</v>
      </c>
      <c r="K44" t="s">
        <v>22</v>
      </c>
      <c r="L44" t="s">
        <v>22</v>
      </c>
    </row>
    <row r="45">
      <c r="A45" t="s">
        <v>18</v>
      </c>
      <c r="B45" t="s">
        <v>4</v>
      </c>
      <c r="C45" t="s">
        <v>145</v>
      </c>
      <c r="D45" t="s">
        <v>146</v>
      </c>
      <c r="E45" t="n">
        <v>126.45443693264</v>
      </c>
      <c r="F45" t="n">
        <v>2.18980958260958</v>
      </c>
      <c r="G45" t="n">
        <v>41.4257343039939</v>
      </c>
      <c r="H45" t="s">
        <v>147</v>
      </c>
      <c r="I45" s="1" t="str">
        <f>HYPERLINK("https://www.google.com/maps/@?api=1&amp;map_action=pano&amp;viewpoint=41.4257343039939,2.18980958260958","Open GSV")</f>
      </c>
      <c r="J45" t="s">
        <v>22</v>
      </c>
      <c r="K45" t="s">
        <v>22</v>
      </c>
      <c r="L45" t="s">
        <v>22</v>
      </c>
    </row>
    <row r="46">
      <c r="A46" t="s">
        <v>18</v>
      </c>
      <c r="B46" t="s">
        <v>4</v>
      </c>
      <c r="C46" t="s">
        <v>148</v>
      </c>
      <c r="D46" t="s">
        <v>149</v>
      </c>
      <c r="E46" t="n">
        <v>133.345083147688</v>
      </c>
      <c r="F46" t="n">
        <v>2.18221356828148</v>
      </c>
      <c r="G46" t="n">
        <v>41.4196416186732</v>
      </c>
      <c r="H46" t="s">
        <v>150</v>
      </c>
      <c r="I46" s="1" t="str">
        <f>HYPERLINK("https://www.google.com/maps/@?api=1&amp;map_action=pano&amp;viewpoint=41.4196416186732,2.18221356828148","Open GSV")</f>
      </c>
      <c r="J46" t="s">
        <v>22</v>
      </c>
      <c r="K46" t="s">
        <v>22</v>
      </c>
      <c r="L46" t="s">
        <v>22</v>
      </c>
    </row>
    <row r="47">
      <c r="A47" t="s">
        <v>18</v>
      </c>
      <c r="B47" t="s">
        <v>4</v>
      </c>
      <c r="C47" t="s">
        <v>151</v>
      </c>
      <c r="D47" t="s">
        <v>152</v>
      </c>
      <c r="E47" t="n">
        <v>165.463409776541</v>
      </c>
      <c r="F47" t="n">
        <v>2.1403126215692</v>
      </c>
      <c r="G47" t="n">
        <v>41.3723511367862</v>
      </c>
      <c r="H47" t="s">
        <v>153</v>
      </c>
      <c r="I47" s="1" t="str">
        <f>HYPERLINK("https://www.google.com/maps/@?api=1&amp;map_action=pano&amp;viewpoint=41.3723511367862,2.1403126215692","Open GSV")</f>
      </c>
      <c r="J47" t="s">
        <v>22</v>
      </c>
      <c r="K47" t="s">
        <v>22</v>
      </c>
      <c r="L47" t="s">
        <v>22</v>
      </c>
    </row>
    <row r="48">
      <c r="A48" t="s">
        <v>18</v>
      </c>
      <c r="B48" t="s">
        <v>4</v>
      </c>
      <c r="C48" t="s">
        <v>154</v>
      </c>
      <c r="D48" t="s">
        <v>155</v>
      </c>
      <c r="E48" t="n">
        <v>64.3214632632034</v>
      </c>
      <c r="F48" t="n">
        <v>2.14397551392483</v>
      </c>
      <c r="G48" t="n">
        <v>41.3767074580508</v>
      </c>
      <c r="H48" t="s">
        <v>156</v>
      </c>
      <c r="I48" s="1" t="str">
        <f>HYPERLINK("https://www.google.com/maps/@?api=1&amp;map_action=pano&amp;viewpoint=41.3767074580508,2.14397551392483","Open GSV")</f>
      </c>
      <c r="J48" t="s">
        <v>22</v>
      </c>
      <c r="K48" t="s">
        <v>22</v>
      </c>
      <c r="L48" t="s">
        <v>22</v>
      </c>
    </row>
    <row r="49">
      <c r="A49" t="s">
        <v>18</v>
      </c>
      <c r="B49" t="s">
        <v>4</v>
      </c>
      <c r="C49" t="s">
        <v>157</v>
      </c>
      <c r="D49" t="s">
        <v>158</v>
      </c>
      <c r="E49" t="n">
        <v>271.797481146607</v>
      </c>
      <c r="F49" t="n">
        <v>2.13182154024536</v>
      </c>
      <c r="G49" t="n">
        <v>41.3742770234233</v>
      </c>
      <c r="H49" t="s">
        <v>159</v>
      </c>
      <c r="I49" s="1" t="str">
        <f>HYPERLINK("https://www.google.com/maps/@?api=1&amp;map_action=pano&amp;viewpoint=41.3742770234233,2.13182154024536","Open GSV")</f>
      </c>
      <c r="J49" t="s">
        <v>22</v>
      </c>
      <c r="K49" t="s">
        <v>22</v>
      </c>
      <c r="L49" t="s">
        <v>22</v>
      </c>
    </row>
    <row r="50">
      <c r="A50" t="s">
        <v>18</v>
      </c>
      <c r="B50" t="s">
        <v>4</v>
      </c>
      <c r="C50" t="s">
        <v>160</v>
      </c>
      <c r="D50" t="s">
        <v>161</v>
      </c>
      <c r="E50" t="n">
        <v>98.0651612572183</v>
      </c>
      <c r="F50" t="n">
        <v>2.1469690814976</v>
      </c>
      <c r="G50" t="n">
        <v>41.3723522123108</v>
      </c>
      <c r="H50" t="s">
        <v>162</v>
      </c>
      <c r="I50" s="1" t="str">
        <f>HYPERLINK("https://www.google.com/maps/@?api=1&amp;map_action=pano&amp;viewpoint=41.3723522123108,2.1469690814976","Open GSV")</f>
      </c>
      <c r="J50" t="s">
        <v>22</v>
      </c>
      <c r="K50" t="s">
        <v>22</v>
      </c>
      <c r="L50" t="s">
        <v>22</v>
      </c>
    </row>
    <row r="51">
      <c r="A51" t="s">
        <v>18</v>
      </c>
      <c r="B51" t="s">
        <v>4</v>
      </c>
      <c r="C51" t="s">
        <v>163</v>
      </c>
      <c r="D51" t="s">
        <v>164</v>
      </c>
      <c r="E51" t="n">
        <v>23.5860812386585</v>
      </c>
      <c r="F51" t="n">
        <v>2.15327878450482</v>
      </c>
      <c r="G51" t="n">
        <v>41.4127339474707</v>
      </c>
      <c r="H51" t="s">
        <v>165</v>
      </c>
      <c r="I51" s="1" t="str">
        <f>HYPERLINK("https://www.google.com/maps/@?api=1&amp;map_action=pano&amp;viewpoint=41.4127339474707,2.15327878450482","Open GSV")</f>
      </c>
      <c r="J51" t="s">
        <v>22</v>
      </c>
      <c r="K51" t="s">
        <v>22</v>
      </c>
      <c r="L51" t="s">
        <v>22</v>
      </c>
    </row>
    <row r="52">
      <c r="A52" t="s">
        <v>18</v>
      </c>
      <c r="B52" t="s">
        <v>4</v>
      </c>
      <c r="C52" t="s">
        <v>166</v>
      </c>
      <c r="D52" t="s">
        <v>167</v>
      </c>
      <c r="E52" t="n">
        <v>33.846645261466</v>
      </c>
      <c r="F52" t="n">
        <v>2.15110810048014</v>
      </c>
      <c r="G52" t="n">
        <v>41.4264672022094</v>
      </c>
      <c r="H52" t="s">
        <v>168</v>
      </c>
      <c r="I52" s="1" t="str">
        <f>HYPERLINK("https://www.google.com/maps/@?api=1&amp;map_action=pano&amp;viewpoint=41.4264672022094,2.15110810048014","Open GSV")</f>
      </c>
      <c r="J52" t="s">
        <v>22</v>
      </c>
      <c r="K52" t="s">
        <v>22</v>
      </c>
      <c r="L52" t="s">
        <v>22</v>
      </c>
    </row>
    <row r="53">
      <c r="A53" t="s">
        <v>18</v>
      </c>
      <c r="B53" t="s">
        <v>4</v>
      </c>
      <c r="C53" t="s">
        <v>169</v>
      </c>
      <c r="D53" t="s">
        <v>170</v>
      </c>
      <c r="E53" t="n">
        <v>237.594021703288</v>
      </c>
      <c r="F53" t="n">
        <v>2.18932800199558</v>
      </c>
      <c r="G53" t="n">
        <v>41.4409752749613</v>
      </c>
      <c r="H53" t="s">
        <v>171</v>
      </c>
      <c r="I53" s="1" t="str">
        <f>HYPERLINK("https://www.google.com/maps/@?api=1&amp;map_action=pano&amp;viewpoint=41.4409752749613,2.18932800199558","Open GSV")</f>
      </c>
      <c r="J53" t="s">
        <v>22</v>
      </c>
      <c r="K53" t="s">
        <v>22</v>
      </c>
      <c r="L53" t="s">
        <v>22</v>
      </c>
    </row>
    <row r="54">
      <c r="A54" t="s">
        <v>18</v>
      </c>
      <c r="B54" t="s">
        <v>4</v>
      </c>
      <c r="C54" t="s">
        <v>172</v>
      </c>
      <c r="D54" t="s">
        <v>173</v>
      </c>
      <c r="E54" t="n">
        <v>130.4246280902</v>
      </c>
      <c r="F54" t="n">
        <v>2.19501587748571</v>
      </c>
      <c r="G54" t="n">
        <v>41.4100649243028</v>
      </c>
      <c r="H54" t="s">
        <v>174</v>
      </c>
      <c r="I54" s="1" t="str">
        <f>HYPERLINK("https://www.google.com/maps/@?api=1&amp;map_action=pano&amp;viewpoint=41.4100649243028,2.19501587748571","Open GSV")</f>
      </c>
      <c r="J54" t="s">
        <v>22</v>
      </c>
      <c r="K54" t="s">
        <v>22</v>
      </c>
      <c r="L54" t="s">
        <v>22</v>
      </c>
    </row>
    <row r="55">
      <c r="A55" t="s">
        <v>18</v>
      </c>
      <c r="B55" t="s">
        <v>4</v>
      </c>
      <c r="C55" t="s">
        <v>175</v>
      </c>
      <c r="D55" t="s">
        <v>176</v>
      </c>
      <c r="E55" t="n">
        <v>164.803030971978</v>
      </c>
      <c r="F55" t="n">
        <v>2.15086202020825</v>
      </c>
      <c r="G55" t="n">
        <v>41.4178219724626</v>
      </c>
      <c r="H55" t="s">
        <v>177</v>
      </c>
      <c r="I55" s="1" t="str">
        <f>HYPERLINK("https://www.google.com/maps/@?api=1&amp;map_action=pano&amp;viewpoint=41.4178219724626,2.15086202020825","Open GSV")</f>
      </c>
      <c r="J55" t="s">
        <v>22</v>
      </c>
      <c r="K55" t="s">
        <v>22</v>
      </c>
      <c r="L55" t="s">
        <v>22</v>
      </c>
    </row>
    <row r="56">
      <c r="A56" t="s">
        <v>18</v>
      </c>
      <c r="B56" t="s">
        <v>4</v>
      </c>
      <c r="C56" t="s">
        <v>178</v>
      </c>
      <c r="D56" t="s">
        <v>179</v>
      </c>
      <c r="E56" t="n">
        <v>161.655128809484</v>
      </c>
      <c r="F56" t="n">
        <v>2.10866665250237</v>
      </c>
      <c r="G56" t="n">
        <v>41.4036167804821</v>
      </c>
      <c r="H56" t="s">
        <v>180</v>
      </c>
      <c r="I56" s="1" t="str">
        <f>HYPERLINK("https://www.google.com/maps/@?api=1&amp;map_action=pano&amp;viewpoint=41.4036167804821,2.10866665250237","Open GSV")</f>
      </c>
      <c r="J56" t="s">
        <v>22</v>
      </c>
      <c r="K56" t="s">
        <v>22</v>
      </c>
      <c r="L56" t="s">
        <v>22</v>
      </c>
    </row>
    <row r="57">
      <c r="A57" t="s">
        <v>18</v>
      </c>
      <c r="B57" t="s">
        <v>4</v>
      </c>
      <c r="C57" t="s">
        <v>181</v>
      </c>
      <c r="D57" t="s">
        <v>182</v>
      </c>
      <c r="E57" t="n">
        <v>66.2522756416425</v>
      </c>
      <c r="F57" t="n">
        <v>2.20415170316959</v>
      </c>
      <c r="G57" t="n">
        <v>41.424047727004</v>
      </c>
      <c r="H57" t="s">
        <v>183</v>
      </c>
      <c r="I57" s="1" t="str">
        <f>HYPERLINK("https://www.google.com/maps/@?api=1&amp;map_action=pano&amp;viewpoint=41.424047727004,2.20415170316959","Open GSV")</f>
      </c>
      <c r="J57" t="s">
        <v>22</v>
      </c>
      <c r="K57" t="s">
        <v>22</v>
      </c>
      <c r="L57" t="s">
        <v>22</v>
      </c>
    </row>
    <row r="58">
      <c r="A58" t="s">
        <v>18</v>
      </c>
      <c r="B58" t="s">
        <v>4</v>
      </c>
      <c r="C58" t="s">
        <v>184</v>
      </c>
      <c r="D58" t="s">
        <v>185</v>
      </c>
      <c r="E58" t="n">
        <v>137.042391898508</v>
      </c>
      <c r="F58" t="n">
        <v>2.2049610502794</v>
      </c>
      <c r="G58" t="n">
        <v>41.4059250485741</v>
      </c>
      <c r="H58" t="s">
        <v>186</v>
      </c>
      <c r="I58" s="1" t="str">
        <f>HYPERLINK("https://www.google.com/maps/@?api=1&amp;map_action=pano&amp;viewpoint=41.4059250485741,2.2049610502794","Open GSV")</f>
      </c>
      <c r="J58" t="s">
        <v>22</v>
      </c>
      <c r="K58" t="s">
        <v>22</v>
      </c>
      <c r="L58" t="s">
        <v>22</v>
      </c>
    </row>
    <row r="59">
      <c r="A59" t="s">
        <v>18</v>
      </c>
      <c r="B59" t="s">
        <v>4</v>
      </c>
      <c r="C59" t="s">
        <v>187</v>
      </c>
      <c r="D59" t="s">
        <v>188</v>
      </c>
      <c r="E59" t="n">
        <v>19.0356582001085</v>
      </c>
      <c r="F59" t="n">
        <v>2.14333244815935</v>
      </c>
      <c r="G59" t="n">
        <v>41.3730661174789</v>
      </c>
      <c r="H59" t="s">
        <v>189</v>
      </c>
      <c r="I59" s="1" t="str">
        <f>HYPERLINK("https://www.google.com/maps/@?api=1&amp;map_action=pano&amp;viewpoint=41.3730661174789,2.14333244815935","Open GSV")</f>
      </c>
      <c r="J59" t="s">
        <v>22</v>
      </c>
      <c r="K59" t="s">
        <v>22</v>
      </c>
      <c r="L59" t="s">
        <v>22</v>
      </c>
    </row>
    <row r="60">
      <c r="A60" t="s">
        <v>18</v>
      </c>
      <c r="B60" t="s">
        <v>4</v>
      </c>
      <c r="C60" t="s">
        <v>190</v>
      </c>
      <c r="D60" t="s">
        <v>191</v>
      </c>
      <c r="E60" t="n">
        <v>268.919670137056</v>
      </c>
      <c r="F60" t="n">
        <v>2.20007198490228</v>
      </c>
      <c r="G60" t="n">
        <v>41.3968341724088</v>
      </c>
      <c r="H60" t="s">
        <v>192</v>
      </c>
      <c r="I60" s="1" t="str">
        <f>HYPERLINK("https://www.google.com/maps/@?api=1&amp;map_action=pano&amp;viewpoint=41.3968341724088,2.20007198490228","Open GSV")</f>
      </c>
      <c r="J60" t="s">
        <v>22</v>
      </c>
      <c r="K60" t="s">
        <v>22</v>
      </c>
      <c r="L60" t="s">
        <v>22</v>
      </c>
    </row>
    <row r="61">
      <c r="A61" t="s">
        <v>18</v>
      </c>
      <c r="B61" t="s">
        <v>4</v>
      </c>
      <c r="C61" t="s">
        <v>193</v>
      </c>
      <c r="D61" t="s">
        <v>194</v>
      </c>
      <c r="E61" t="n">
        <v>42.6774116066251</v>
      </c>
      <c r="F61" t="n">
        <v>2.13368178662403</v>
      </c>
      <c r="G61" t="n">
        <v>41.3760279410902</v>
      </c>
      <c r="H61" t="s">
        <v>195</v>
      </c>
      <c r="I61" s="1" t="str">
        <f>HYPERLINK("https://www.google.com/maps/@?api=1&amp;map_action=pano&amp;viewpoint=41.3760279410902,2.13368178662403","Open GSV")</f>
      </c>
      <c r="J61" t="s">
        <v>22</v>
      </c>
      <c r="K61" t="s">
        <v>22</v>
      </c>
      <c r="L61" t="s">
        <v>22</v>
      </c>
    </row>
    <row r="62">
      <c r="A62" t="s">
        <v>18</v>
      </c>
      <c r="B62" t="s">
        <v>4</v>
      </c>
      <c r="C62" t="s">
        <v>196</v>
      </c>
      <c r="D62" t="s">
        <v>197</v>
      </c>
      <c r="E62" t="n">
        <v>141.637549587013</v>
      </c>
      <c r="F62" t="n">
        <v>2.17402902351931</v>
      </c>
      <c r="G62" t="n">
        <v>41.3883557363496</v>
      </c>
      <c r="H62" t="s">
        <v>198</v>
      </c>
      <c r="I62" s="1" t="str">
        <f>HYPERLINK("https://www.google.com/maps/@?api=1&amp;map_action=pano&amp;viewpoint=41.3883557363496,2.17402902351931","Open GSV")</f>
      </c>
      <c r="J62" t="s">
        <v>22</v>
      </c>
      <c r="K62" t="s">
        <v>22</v>
      </c>
      <c r="L62" t="s">
        <v>22</v>
      </c>
    </row>
    <row r="63">
      <c r="A63" t="s">
        <v>18</v>
      </c>
      <c r="B63" t="s">
        <v>4</v>
      </c>
      <c r="C63" t="s">
        <v>199</v>
      </c>
      <c r="D63" t="s">
        <v>200</v>
      </c>
      <c r="E63" t="n">
        <v>138.565657196358</v>
      </c>
      <c r="F63" t="n">
        <v>2.16248053634083</v>
      </c>
      <c r="G63" t="n">
        <v>41.4049561923066</v>
      </c>
      <c r="H63" t="s">
        <v>201</v>
      </c>
      <c r="I63" s="1" t="str">
        <f>HYPERLINK("https://www.google.com/maps/@?api=1&amp;map_action=pano&amp;viewpoint=41.4049561923066,2.16248053634083","Open GSV")</f>
      </c>
      <c r="J63" t="s">
        <v>22</v>
      </c>
      <c r="K63" t="s">
        <v>22</v>
      </c>
      <c r="L63" t="s">
        <v>22</v>
      </c>
    </row>
    <row r="64">
      <c r="A64" t="s">
        <v>18</v>
      </c>
      <c r="B64" t="s">
        <v>4</v>
      </c>
      <c r="C64" t="s">
        <v>202</v>
      </c>
      <c r="D64" t="s">
        <v>203</v>
      </c>
      <c r="E64" t="n">
        <v>191.02328151954</v>
      </c>
      <c r="F64" t="n">
        <v>2.15296458741386</v>
      </c>
      <c r="G64" t="n">
        <v>41.407783967103</v>
      </c>
      <c r="H64" t="s">
        <v>204</v>
      </c>
      <c r="I64" s="1" t="str">
        <f>HYPERLINK("https://www.google.com/maps/@?api=1&amp;map_action=pano&amp;viewpoint=41.407783967103,2.15296458741386","Open GSV")</f>
      </c>
      <c r="J64" t="s">
        <v>22</v>
      </c>
      <c r="K64" t="s">
        <v>22</v>
      </c>
      <c r="L64" t="s">
        <v>22</v>
      </c>
    </row>
    <row r="65">
      <c r="A65" t="s">
        <v>18</v>
      </c>
      <c r="B65" t="s">
        <v>4</v>
      </c>
      <c r="C65" t="s">
        <v>205</v>
      </c>
      <c r="D65" t="s">
        <v>206</v>
      </c>
      <c r="E65" t="n">
        <v>285.085513251117</v>
      </c>
      <c r="F65" t="n">
        <v>2.18069145429209</v>
      </c>
      <c r="G65" t="n">
        <v>41.4488931745484</v>
      </c>
      <c r="H65" t="s">
        <v>207</v>
      </c>
      <c r="I65" s="1" t="str">
        <f>HYPERLINK("https://www.google.com/maps/@?api=1&amp;map_action=pano&amp;viewpoint=41.4488931745484,2.18069145429209","Open GSV")</f>
      </c>
      <c r="J65" t="s">
        <v>22</v>
      </c>
      <c r="K65" t="s">
        <v>22</v>
      </c>
      <c r="L65" t="s">
        <v>22</v>
      </c>
    </row>
    <row r="66">
      <c r="A66" t="s">
        <v>18</v>
      </c>
      <c r="B66" t="s">
        <v>4</v>
      </c>
      <c r="C66" t="s">
        <v>208</v>
      </c>
      <c r="D66" t="s">
        <v>209</v>
      </c>
      <c r="E66" t="n">
        <v>37.4780872908339</v>
      </c>
      <c r="F66" t="n">
        <v>2.17558009008135</v>
      </c>
      <c r="G66" t="n">
        <v>41.426923767582</v>
      </c>
      <c r="H66" t="s">
        <v>210</v>
      </c>
      <c r="I66" s="1" t="str">
        <f>HYPERLINK("https://www.google.com/maps/@?api=1&amp;map_action=pano&amp;viewpoint=41.426923767582,2.17558009008135","Open GSV")</f>
      </c>
      <c r="J66" t="s">
        <v>22</v>
      </c>
      <c r="K66" t="s">
        <v>22</v>
      </c>
      <c r="L66" t="s">
        <v>22</v>
      </c>
    </row>
    <row r="67">
      <c r="A67" t="s">
        <v>18</v>
      </c>
      <c r="B67" t="s">
        <v>4</v>
      </c>
      <c r="C67" t="s">
        <v>211</v>
      </c>
      <c r="D67" t="s">
        <v>212</v>
      </c>
      <c r="E67" t="n">
        <v>22.6684422909421</v>
      </c>
      <c r="F67" t="n">
        <v>2.15526599370059</v>
      </c>
      <c r="G67" t="n">
        <v>41.3970091061561</v>
      </c>
      <c r="H67" t="s">
        <v>213</v>
      </c>
      <c r="I67" s="1" t="str">
        <f>HYPERLINK("https://www.google.com/maps/@?api=1&amp;map_action=pano&amp;viewpoint=41.3970091061561,2.15526599370059","Open GSV")</f>
      </c>
      <c r="J67" t="s">
        <v>22</v>
      </c>
      <c r="K67" t="s">
        <v>22</v>
      </c>
      <c r="L67" t="s">
        <v>22</v>
      </c>
    </row>
    <row r="68">
      <c r="A68" t="s">
        <v>18</v>
      </c>
      <c r="B68" t="s">
        <v>4</v>
      </c>
      <c r="C68" t="s">
        <v>214</v>
      </c>
      <c r="D68" t="s">
        <v>215</v>
      </c>
      <c r="E68" t="n">
        <v>262.118948698635</v>
      </c>
      <c r="F68" t="n">
        <v>2.10614233848884</v>
      </c>
      <c r="G68" t="n">
        <v>41.4030408019304</v>
      </c>
      <c r="H68" t="s">
        <v>216</v>
      </c>
      <c r="I68" s="1" t="str">
        <f>HYPERLINK("https://www.google.com/maps/@?api=1&amp;map_action=pano&amp;viewpoint=41.4030408019304,2.10614233848884","Open GSV")</f>
      </c>
      <c r="J68" t="s">
        <v>22</v>
      </c>
      <c r="K68" t="s">
        <v>22</v>
      </c>
      <c r="L68" t="s">
        <v>22</v>
      </c>
    </row>
    <row r="69">
      <c r="A69" t="s">
        <v>18</v>
      </c>
      <c r="B69" t="s">
        <v>4</v>
      </c>
      <c r="C69" t="s">
        <v>217</v>
      </c>
      <c r="D69" t="s">
        <v>218</v>
      </c>
      <c r="E69" t="n">
        <v>276.933557504506</v>
      </c>
      <c r="F69" t="n">
        <v>2.15157696664121</v>
      </c>
      <c r="G69" t="n">
        <v>41.4175925407163</v>
      </c>
      <c r="H69" t="s">
        <v>219</v>
      </c>
      <c r="I69" s="1" t="str">
        <f>HYPERLINK("https://www.google.com/maps/@?api=1&amp;map_action=pano&amp;viewpoint=41.4175925407163,2.15157696664121","Open GSV")</f>
      </c>
      <c r="J69" t="s">
        <v>22</v>
      </c>
      <c r="K69" t="s">
        <v>22</v>
      </c>
      <c r="L69" t="s">
        <v>22</v>
      </c>
    </row>
    <row r="70">
      <c r="A70" t="s">
        <v>18</v>
      </c>
      <c r="B70" t="s">
        <v>4</v>
      </c>
      <c r="C70" t="s">
        <v>220</v>
      </c>
      <c r="D70" t="s">
        <v>221</v>
      </c>
      <c r="E70" t="n">
        <v>80.8882054474858</v>
      </c>
      <c r="F70" t="n">
        <v>2.13143215950203</v>
      </c>
      <c r="G70" t="n">
        <v>41.3878461984698</v>
      </c>
      <c r="H70" t="s">
        <v>222</v>
      </c>
      <c r="I70" s="1" t="str">
        <f>HYPERLINK("https://www.google.com/maps/@?api=1&amp;map_action=pano&amp;viewpoint=41.3878461984698,2.13143215950203","Open GSV")</f>
      </c>
      <c r="J70" t="s">
        <v>22</v>
      </c>
      <c r="K70" t="s">
        <v>22</v>
      </c>
      <c r="L70" t="s">
        <v>22</v>
      </c>
    </row>
    <row r="71">
      <c r="A71" t="s">
        <v>18</v>
      </c>
      <c r="B71" t="s">
        <v>4</v>
      </c>
      <c r="C71" t="s">
        <v>223</v>
      </c>
      <c r="D71" t="s">
        <v>224</v>
      </c>
      <c r="E71" t="n">
        <v>16.4171444233409</v>
      </c>
      <c r="F71" t="n">
        <v>2.17235412450811</v>
      </c>
      <c r="G71" t="n">
        <v>41.426590991927</v>
      </c>
      <c r="H71" t="s">
        <v>225</v>
      </c>
      <c r="I71" s="1" t="str">
        <f>HYPERLINK("https://www.google.com/maps/@?api=1&amp;map_action=pano&amp;viewpoint=41.426590991927,2.17235412450811","Open GSV")</f>
      </c>
      <c r="J71" t="s">
        <v>22</v>
      </c>
      <c r="K71" t="s">
        <v>22</v>
      </c>
      <c r="L71" t="s">
        <v>22</v>
      </c>
    </row>
    <row r="72">
      <c r="A72" t="s">
        <v>18</v>
      </c>
      <c r="B72" t="s">
        <v>4</v>
      </c>
      <c r="C72" t="s">
        <v>226</v>
      </c>
      <c r="D72" t="s">
        <v>227</v>
      </c>
      <c r="E72" t="n">
        <v>122.713465801716</v>
      </c>
      <c r="F72" t="n">
        <v>2.12233727146791</v>
      </c>
      <c r="G72" t="n">
        <v>41.3768200177211</v>
      </c>
      <c r="H72" t="s">
        <v>228</v>
      </c>
      <c r="I72" s="1" t="str">
        <f>HYPERLINK("https://www.google.com/maps/@?api=1&amp;map_action=pano&amp;viewpoint=41.3768200177211,2.12233727146791","Open GSV")</f>
      </c>
      <c r="J72" t="s">
        <v>22</v>
      </c>
      <c r="K72" t="s">
        <v>22</v>
      </c>
      <c r="L72" t="s">
        <v>22</v>
      </c>
    </row>
    <row r="73">
      <c r="A73" t="s">
        <v>18</v>
      </c>
      <c r="B73" t="s">
        <v>4</v>
      </c>
      <c r="C73" t="s">
        <v>229</v>
      </c>
      <c r="D73" t="s">
        <v>230</v>
      </c>
      <c r="E73" t="n">
        <v>22.5763067894208</v>
      </c>
      <c r="F73" t="n">
        <v>2.20303162631617</v>
      </c>
      <c r="G73" t="n">
        <v>41.4339341711417</v>
      </c>
      <c r="H73" t="s">
        <v>231</v>
      </c>
      <c r="I73" s="1" t="str">
        <f>HYPERLINK("https://www.google.com/maps/@?api=1&amp;map_action=pano&amp;viewpoint=41.4339341711417,2.20303162631617","Open GSV")</f>
      </c>
      <c r="J73" t="s">
        <v>22</v>
      </c>
      <c r="K73" t="s">
        <v>22</v>
      </c>
      <c r="L73" t="s">
        <v>22</v>
      </c>
    </row>
    <row r="74">
      <c r="A74" t="s">
        <v>18</v>
      </c>
      <c r="B74" t="s">
        <v>4</v>
      </c>
      <c r="C74" t="s">
        <v>232</v>
      </c>
      <c r="D74" t="s">
        <v>233</v>
      </c>
      <c r="E74" t="n">
        <v>110.109942905673</v>
      </c>
      <c r="F74" t="n">
        <v>2.12090652030266</v>
      </c>
      <c r="G74" t="n">
        <v>41.4012606014327</v>
      </c>
      <c r="H74" t="s">
        <v>234</v>
      </c>
      <c r="I74" s="1" t="str">
        <f>HYPERLINK("https://www.google.com/maps/@?api=1&amp;map_action=pano&amp;viewpoint=41.4012606014327,2.12090652030266","Open GSV")</f>
      </c>
      <c r="J74" t="s">
        <v>22</v>
      </c>
      <c r="K74" t="s">
        <v>22</v>
      </c>
      <c r="L74" t="s">
        <v>22</v>
      </c>
    </row>
    <row r="75">
      <c r="A75" t="s">
        <v>18</v>
      </c>
      <c r="B75" t="s">
        <v>4</v>
      </c>
      <c r="C75" t="s">
        <v>235</v>
      </c>
      <c r="D75" t="s">
        <v>236</v>
      </c>
      <c r="E75" t="n">
        <v>127.439426302894</v>
      </c>
      <c r="F75" t="n">
        <v>2.10961698974837</v>
      </c>
      <c r="G75" t="n">
        <v>41.4026232895297</v>
      </c>
      <c r="H75" t="s">
        <v>237</v>
      </c>
      <c r="I75" s="1" t="str">
        <f>HYPERLINK("https://www.google.com/maps/@?api=1&amp;map_action=pano&amp;viewpoint=41.4026232895297,2.10961698974837","Open GSV")</f>
      </c>
      <c r="J75" t="s">
        <v>22</v>
      </c>
      <c r="K75" t="s">
        <v>22</v>
      </c>
      <c r="L75" t="s">
        <v>22</v>
      </c>
    </row>
    <row r="76">
      <c r="A76" t="s">
        <v>18</v>
      </c>
      <c r="B76" t="s">
        <v>4</v>
      </c>
      <c r="C76" t="s">
        <v>238</v>
      </c>
      <c r="D76" t="s">
        <v>239</v>
      </c>
      <c r="E76" t="n">
        <v>146.243329248249</v>
      </c>
      <c r="F76" t="n">
        <v>2.14803080052909</v>
      </c>
      <c r="G76" t="n">
        <v>41.3522225916335</v>
      </c>
      <c r="H76" t="s">
        <v>240</v>
      </c>
      <c r="I76" s="1" t="str">
        <f>HYPERLINK("https://www.google.com/maps/@?api=1&amp;map_action=pano&amp;viewpoint=41.3522225916335,2.14803080052909","Open GSV")</f>
      </c>
      <c r="J76" t="s">
        <v>22</v>
      </c>
      <c r="K76" t="s">
        <v>22</v>
      </c>
      <c r="L76" t="s">
        <v>22</v>
      </c>
    </row>
    <row r="77">
      <c r="A77" t="s">
        <v>18</v>
      </c>
      <c r="B77" t="s">
        <v>4</v>
      </c>
      <c r="C77" t="s">
        <v>241</v>
      </c>
      <c r="D77" t="s">
        <v>242</v>
      </c>
      <c r="E77" t="n">
        <v>119.451120296571</v>
      </c>
      <c r="F77" t="n">
        <v>2.14768670360901</v>
      </c>
      <c r="G77" t="n">
        <v>41.3526631893484</v>
      </c>
      <c r="H77" t="s">
        <v>243</v>
      </c>
      <c r="I77" s="1" t="str">
        <f>HYPERLINK("https://www.google.com/maps/@?api=1&amp;map_action=pano&amp;viewpoint=41.3526631893484,2.14768670360901","Open GSV")</f>
      </c>
      <c r="J77" t="s">
        <v>22</v>
      </c>
      <c r="K77" t="s">
        <v>22</v>
      </c>
      <c r="L77" t="s">
        <v>22</v>
      </c>
    </row>
    <row r="78">
      <c r="A78" t="s">
        <v>18</v>
      </c>
      <c r="B78" t="s">
        <v>4</v>
      </c>
      <c r="C78" t="s">
        <v>244</v>
      </c>
      <c r="D78" t="s">
        <v>245</v>
      </c>
      <c r="E78" t="n">
        <v>113.711907691522</v>
      </c>
      <c r="F78" t="n">
        <v>2.10860050273466</v>
      </c>
      <c r="G78" t="n">
        <v>41.3973744446618</v>
      </c>
      <c r="H78" t="s">
        <v>246</v>
      </c>
      <c r="I78" s="1" t="str">
        <f>HYPERLINK("https://www.google.com/maps/@?api=1&amp;map_action=pano&amp;viewpoint=41.3973744446618,2.10860050273466","Open GSV")</f>
      </c>
      <c r="J78" t="s">
        <v>22</v>
      </c>
      <c r="K78" t="s">
        <v>22</v>
      </c>
      <c r="L78" t="s">
        <v>22</v>
      </c>
    </row>
    <row r="79">
      <c r="A79" t="s">
        <v>18</v>
      </c>
      <c r="B79" t="s">
        <v>4</v>
      </c>
      <c r="C79" t="s">
        <v>247</v>
      </c>
      <c r="D79" t="s">
        <v>248</v>
      </c>
      <c r="E79" t="n">
        <v>33.4442028110972</v>
      </c>
      <c r="F79" t="n">
        <v>2.11325888256489</v>
      </c>
      <c r="G79" t="n">
        <v>41.395236664417</v>
      </c>
      <c r="H79" t="s">
        <v>249</v>
      </c>
      <c r="I79" s="1" t="str">
        <f>HYPERLINK("https://www.google.com/maps/@?api=1&amp;map_action=pano&amp;viewpoint=41.395236664417,2.11325888256489","Open GSV")</f>
      </c>
      <c r="J79" t="s">
        <v>22</v>
      </c>
      <c r="K79" t="s">
        <v>22</v>
      </c>
      <c r="L79" t="s">
        <v>22</v>
      </c>
    </row>
    <row r="80">
      <c r="A80" t="s">
        <v>18</v>
      </c>
      <c r="B80" t="s">
        <v>4</v>
      </c>
      <c r="C80" t="s">
        <v>250</v>
      </c>
      <c r="D80" t="s">
        <v>251</v>
      </c>
      <c r="E80" t="n">
        <v>67.394091461627</v>
      </c>
      <c r="F80" t="n">
        <v>2.13225096639418</v>
      </c>
      <c r="G80" t="n">
        <v>41.3751603480993</v>
      </c>
      <c r="H80" t="s">
        <v>252</v>
      </c>
      <c r="I80" s="1" t="str">
        <f>HYPERLINK("https://www.google.com/maps/@?api=1&amp;map_action=pano&amp;viewpoint=41.3751603480993,2.13225096639418","Open GSV")</f>
      </c>
      <c r="J80" t="s">
        <v>22</v>
      </c>
      <c r="K80" t="s">
        <v>22</v>
      </c>
      <c r="L80" t="s">
        <v>22</v>
      </c>
    </row>
    <row r="81">
      <c r="A81" t="s">
        <v>18</v>
      </c>
      <c r="B81" t="s">
        <v>4</v>
      </c>
      <c r="C81" t="s">
        <v>253</v>
      </c>
      <c r="D81" t="s">
        <v>158</v>
      </c>
      <c r="E81" t="n">
        <v>84.9208143668377</v>
      </c>
      <c r="F81" t="n">
        <v>2.13232507243723</v>
      </c>
      <c r="G81" t="n">
        <v>41.3727146802999</v>
      </c>
      <c r="H81" t="s">
        <v>254</v>
      </c>
      <c r="I81" s="1" t="str">
        <f>HYPERLINK("https://www.google.com/maps/@?api=1&amp;map_action=pano&amp;viewpoint=41.3727146802999,2.13232507243723","Open GSV")</f>
      </c>
      <c r="J81" t="s">
        <v>22</v>
      </c>
      <c r="K81" t="s">
        <v>22</v>
      </c>
      <c r="L81" t="s">
        <v>22</v>
      </c>
    </row>
    <row r="82">
      <c r="A82" t="s">
        <v>18</v>
      </c>
      <c r="B82" t="s">
        <v>4</v>
      </c>
      <c r="C82" t="s">
        <v>255</v>
      </c>
      <c r="D82" t="s">
        <v>256</v>
      </c>
      <c r="E82" t="n">
        <v>101.056443022105</v>
      </c>
      <c r="F82" t="n">
        <v>2.17295864245986</v>
      </c>
      <c r="G82" t="n">
        <v>41.4480766024944</v>
      </c>
      <c r="H82" t="s">
        <v>257</v>
      </c>
      <c r="I82" s="1" t="str">
        <f>HYPERLINK("https://www.google.com/maps/@?api=1&amp;map_action=pano&amp;viewpoint=41.4480766024944,2.17295864245986","Open GSV")</f>
      </c>
      <c r="J82" t="s">
        <v>22</v>
      </c>
      <c r="K82" t="s">
        <v>22</v>
      </c>
      <c r="L82" t="s">
        <v>22</v>
      </c>
    </row>
    <row r="83">
      <c r="A83" t="s">
        <v>18</v>
      </c>
      <c r="B83" t="s">
        <v>4</v>
      </c>
      <c r="C83" t="s">
        <v>258</v>
      </c>
      <c r="D83" t="s">
        <v>259</v>
      </c>
      <c r="E83" t="n">
        <v>17.0287642222025</v>
      </c>
      <c r="F83" t="n">
        <v>2.16608240581831</v>
      </c>
      <c r="G83" t="n">
        <v>41.3748481993749</v>
      </c>
      <c r="H83" t="s">
        <v>260</v>
      </c>
      <c r="I83" s="1" t="str">
        <f>HYPERLINK("https://www.google.com/maps/@?api=1&amp;map_action=pano&amp;viewpoint=41.3748481993749,2.16608240581831","Open GSV")</f>
      </c>
      <c r="J83" t="s">
        <v>22</v>
      </c>
      <c r="K83" t="s">
        <v>22</v>
      </c>
      <c r="L83" t="s">
        <v>22</v>
      </c>
    </row>
    <row r="84">
      <c r="A84" t="s">
        <v>18</v>
      </c>
      <c r="B84" t="s">
        <v>5</v>
      </c>
      <c r="C84" t="s">
        <v>261</v>
      </c>
      <c r="D84" t="s">
        <v>262</v>
      </c>
      <c r="E84" t="n">
        <v>274.53571722971</v>
      </c>
      <c r="F84" t="n">
        <v>2.17835132732811</v>
      </c>
      <c r="G84" t="n">
        <v>41.3910460335118</v>
      </c>
      <c r="H84" t="s">
        <v>263</v>
      </c>
      <c r="I84" s="1" t="str">
        <f>HYPERLINK("https://www.google.com/maps/@?api=1&amp;map_action=pano&amp;viewpoint=41.3910460335118,2.17835132732811","Open GSV")</f>
      </c>
      <c r="J84" t="s">
        <v>22</v>
      </c>
      <c r="K84" t="s">
        <v>22</v>
      </c>
      <c r="L84" t="s">
        <v>22</v>
      </c>
    </row>
    <row r="85">
      <c r="A85" t="s">
        <v>18</v>
      </c>
      <c r="B85" t="s">
        <v>5</v>
      </c>
      <c r="C85" t="s">
        <v>264</v>
      </c>
      <c r="D85" t="s">
        <v>265</v>
      </c>
      <c r="E85" t="n">
        <v>47.6787570807615</v>
      </c>
      <c r="F85" t="n">
        <v>2.17558059576159</v>
      </c>
      <c r="G85" t="n">
        <v>41.3764426696256</v>
      </c>
      <c r="H85" t="s">
        <v>266</v>
      </c>
      <c r="I85" s="1" t="str">
        <f>HYPERLINK("https://www.google.com/maps/@?api=1&amp;map_action=pano&amp;viewpoint=41.3764426696256,2.17558059576159","Open GSV")</f>
      </c>
      <c r="J85" t="s">
        <v>22</v>
      </c>
      <c r="K85" t="s">
        <v>22</v>
      </c>
      <c r="L85" t="s">
        <v>22</v>
      </c>
    </row>
    <row r="86">
      <c r="A86" t="s">
        <v>18</v>
      </c>
      <c r="B86" t="s">
        <v>5</v>
      </c>
      <c r="C86" t="s">
        <v>267</v>
      </c>
      <c r="D86"/>
      <c r="E86" t="n">
        <v>92.622135661065</v>
      </c>
      <c r="F86" t="n">
        <v>2.11554311649138</v>
      </c>
      <c r="G86" t="n">
        <v>41.4062218089718</v>
      </c>
      <c r="H86" t="s">
        <v>268</v>
      </c>
      <c r="I86" s="1" t="str">
        <f>HYPERLINK("https://www.google.com/maps/@?api=1&amp;map_action=pano&amp;viewpoint=41.4062218089718,2.11554311649138","Open GSV")</f>
      </c>
      <c r="J86" t="s">
        <v>22</v>
      </c>
      <c r="K86" t="s">
        <v>22</v>
      </c>
      <c r="L86" t="s">
        <v>22</v>
      </c>
    </row>
    <row r="87">
      <c r="A87" t="s">
        <v>18</v>
      </c>
      <c r="B87" t="s">
        <v>5</v>
      </c>
      <c r="C87" t="s">
        <v>269</v>
      </c>
      <c r="D87" t="s">
        <v>270</v>
      </c>
      <c r="E87" t="n">
        <v>118.371902991268</v>
      </c>
      <c r="F87" t="n">
        <v>2.1782136171636</v>
      </c>
      <c r="G87" t="n">
        <v>41.4465229765605</v>
      </c>
      <c r="H87" t="s">
        <v>271</v>
      </c>
      <c r="I87" s="1" t="str">
        <f>HYPERLINK("https://www.google.com/maps/@?api=1&amp;map_action=pano&amp;viewpoint=41.4465229765605,2.1782136171636","Open GSV")</f>
      </c>
      <c r="J87" t="s">
        <v>22</v>
      </c>
      <c r="K87" t="s">
        <v>22</v>
      </c>
      <c r="L87" t="s">
        <v>22</v>
      </c>
    </row>
    <row r="88">
      <c r="A88" t="s">
        <v>18</v>
      </c>
      <c r="B88" t="s">
        <v>5</v>
      </c>
      <c r="C88" t="s">
        <v>272</v>
      </c>
      <c r="D88" t="s">
        <v>273</v>
      </c>
      <c r="E88" t="n">
        <v>239.902954836667</v>
      </c>
      <c r="F88" t="n">
        <v>2.11999266382844</v>
      </c>
      <c r="G88" t="n">
        <v>41.3958561719042</v>
      </c>
      <c r="H88" t="s">
        <v>274</v>
      </c>
      <c r="I88" s="1" t="str">
        <f>HYPERLINK("https://www.google.com/maps/@?api=1&amp;map_action=pano&amp;viewpoint=41.3958561719042,2.11999266382844","Open GSV")</f>
      </c>
      <c r="J88" t="s">
        <v>22</v>
      </c>
      <c r="K88" t="s">
        <v>22</v>
      </c>
      <c r="L88" t="s">
        <v>22</v>
      </c>
    </row>
    <row r="89">
      <c r="A89" t="s">
        <v>18</v>
      </c>
      <c r="B89" t="s">
        <v>5</v>
      </c>
      <c r="C89" t="s">
        <v>275</v>
      </c>
      <c r="D89" t="s">
        <v>276</v>
      </c>
      <c r="E89" t="n">
        <v>294.377495603077</v>
      </c>
      <c r="F89" t="n">
        <v>2.18143153009488</v>
      </c>
      <c r="G89" t="n">
        <v>41.4344997643802</v>
      </c>
      <c r="H89" t="s">
        <v>277</v>
      </c>
      <c r="I89" s="1" t="str">
        <f>HYPERLINK("https://www.google.com/maps/@?api=1&amp;map_action=pano&amp;viewpoint=41.4344997643802,2.18143153009488","Open GSV")</f>
      </c>
      <c r="J89" t="s">
        <v>22</v>
      </c>
      <c r="K89" t="s">
        <v>22</v>
      </c>
      <c r="L89" t="s">
        <v>22</v>
      </c>
    </row>
    <row r="90">
      <c r="A90" t="s">
        <v>18</v>
      </c>
      <c r="B90" t="s">
        <v>5</v>
      </c>
      <c r="C90" t="s">
        <v>278</v>
      </c>
      <c r="D90" t="s">
        <v>279</v>
      </c>
      <c r="E90" t="n">
        <v>25.46886626458</v>
      </c>
      <c r="F90" t="n">
        <v>2.13866001987984</v>
      </c>
      <c r="G90" t="n">
        <v>41.3788216816153</v>
      </c>
      <c r="H90" t="s">
        <v>280</v>
      </c>
      <c r="I90" s="1" t="str">
        <f>HYPERLINK("https://www.google.com/maps/@?api=1&amp;map_action=pano&amp;viewpoint=41.3788216816153,2.13866001987984","Open GSV")</f>
      </c>
      <c r="J90" t="s">
        <v>22</v>
      </c>
      <c r="K90" t="s">
        <v>22</v>
      </c>
      <c r="L90" t="s">
        <v>22</v>
      </c>
    </row>
    <row r="91">
      <c r="A91" t="s">
        <v>18</v>
      </c>
      <c r="B91" t="s">
        <v>5</v>
      </c>
      <c r="C91" t="s">
        <v>281</v>
      </c>
      <c r="D91" t="s">
        <v>282</v>
      </c>
      <c r="E91" t="n">
        <v>131.799450053987</v>
      </c>
      <c r="F91" t="n">
        <v>2.14996182826357</v>
      </c>
      <c r="G91" t="n">
        <v>41.3767411426056</v>
      </c>
      <c r="H91" t="s">
        <v>283</v>
      </c>
      <c r="I91" s="1" t="str">
        <f>HYPERLINK("https://www.google.com/maps/@?api=1&amp;map_action=pano&amp;viewpoint=41.3767411426056,2.14996182826357","Open GSV")</f>
      </c>
      <c r="J91" t="s">
        <v>22</v>
      </c>
      <c r="K91" t="s">
        <v>22</v>
      </c>
      <c r="L91" t="s">
        <v>22</v>
      </c>
    </row>
    <row r="92">
      <c r="A92" t="s">
        <v>18</v>
      </c>
      <c r="B92" t="s">
        <v>5</v>
      </c>
      <c r="C92" t="s">
        <v>284</v>
      </c>
      <c r="D92" t="s">
        <v>285</v>
      </c>
      <c r="E92" t="n">
        <v>28.4581401368219</v>
      </c>
      <c r="F92" t="n">
        <v>2.11336410104081</v>
      </c>
      <c r="G92" t="n">
        <v>41.3951863212359</v>
      </c>
      <c r="H92" t="s">
        <v>286</v>
      </c>
      <c r="I92" s="1" t="str">
        <f>HYPERLINK("https://www.google.com/maps/@?api=1&amp;map_action=pano&amp;viewpoint=41.3951863212359,2.11336410104081","Open GSV")</f>
      </c>
      <c r="J92" t="s">
        <v>22</v>
      </c>
      <c r="K92" t="s">
        <v>22</v>
      </c>
      <c r="L92" t="s">
        <v>22</v>
      </c>
    </row>
    <row r="93">
      <c r="A93" t="s">
        <v>18</v>
      </c>
      <c r="B93" t="s">
        <v>5</v>
      </c>
      <c r="C93" t="s">
        <v>287</v>
      </c>
      <c r="D93" t="s">
        <v>288</v>
      </c>
      <c r="E93" t="n">
        <v>41.4972247382439</v>
      </c>
      <c r="F93" t="n">
        <v>2.14852783176896</v>
      </c>
      <c r="G93" t="n">
        <v>41.3752764929725</v>
      </c>
      <c r="H93" t="s">
        <v>289</v>
      </c>
      <c r="I93" s="1" t="str">
        <f>HYPERLINK("https://www.google.com/maps/@?api=1&amp;map_action=pano&amp;viewpoint=41.3752764929725,2.14852783176896","Open GSV")</f>
      </c>
      <c r="J93" t="s">
        <v>22</v>
      </c>
      <c r="K93" t="s">
        <v>22</v>
      </c>
      <c r="L93" t="s">
        <v>22</v>
      </c>
    </row>
    <row r="94">
      <c r="A94" t="s">
        <v>18</v>
      </c>
      <c r="B94" t="s">
        <v>5</v>
      </c>
      <c r="C94" t="s">
        <v>290</v>
      </c>
      <c r="D94" t="s">
        <v>291</v>
      </c>
      <c r="E94" t="n">
        <v>1470.79556638019</v>
      </c>
      <c r="F94" t="n">
        <v>2.10029990827415</v>
      </c>
      <c r="G94" t="n">
        <v>41.4168010834449</v>
      </c>
      <c r="H94" t="s">
        <v>292</v>
      </c>
      <c r="I94" s="1" t="str">
        <f>HYPERLINK("https://www.google.com/maps/@?api=1&amp;map_action=pano&amp;viewpoint=41.4168010834449,2.10029990827415","Open GSV")</f>
      </c>
      <c r="J94" t="s">
        <v>22</v>
      </c>
      <c r="K94" t="s">
        <v>22</v>
      </c>
      <c r="L94" t="s">
        <v>22</v>
      </c>
    </row>
    <row r="95">
      <c r="A95" t="s">
        <v>18</v>
      </c>
      <c r="B95" t="s">
        <v>5</v>
      </c>
      <c r="C95" t="s">
        <v>293</v>
      </c>
      <c r="D95" t="s">
        <v>294</v>
      </c>
      <c r="E95" t="n">
        <v>77.9508032009116</v>
      </c>
      <c r="F95" t="n">
        <v>2.14311642970238</v>
      </c>
      <c r="G95" t="n">
        <v>41.3804770919385</v>
      </c>
      <c r="H95" t="s">
        <v>295</v>
      </c>
      <c r="I95" s="1" t="str">
        <f>HYPERLINK("https://www.google.com/maps/@?api=1&amp;map_action=pano&amp;viewpoint=41.3804770919385,2.14311642970238","Open GSV")</f>
      </c>
      <c r="J95" t="s">
        <v>22</v>
      </c>
      <c r="K95" t="s">
        <v>22</v>
      </c>
      <c r="L95" t="s">
        <v>22</v>
      </c>
    </row>
    <row r="96">
      <c r="A96" t="s">
        <v>18</v>
      </c>
      <c r="B96" t="s">
        <v>5</v>
      </c>
      <c r="C96" t="s">
        <v>296</v>
      </c>
      <c r="D96" t="s">
        <v>297</v>
      </c>
      <c r="E96" t="n">
        <v>180.92828749889</v>
      </c>
      <c r="F96" t="n">
        <v>2.14281538850959</v>
      </c>
      <c r="G96" t="n">
        <v>41.3934329241773</v>
      </c>
      <c r="H96" t="s">
        <v>298</v>
      </c>
      <c r="I96" s="1" t="str">
        <f>HYPERLINK("https://www.google.com/maps/@?api=1&amp;map_action=pano&amp;viewpoint=41.3934329241773,2.14281538850959","Open GSV")</f>
      </c>
      <c r="J96" t="s">
        <v>22</v>
      </c>
      <c r="K96" t="s">
        <v>22</v>
      </c>
      <c r="L96" t="s">
        <v>22</v>
      </c>
    </row>
    <row r="97">
      <c r="A97" t="s">
        <v>18</v>
      </c>
      <c r="B97" t="s">
        <v>5</v>
      </c>
      <c r="C97" t="s">
        <v>299</v>
      </c>
      <c r="D97" t="s">
        <v>300</v>
      </c>
      <c r="E97" t="n">
        <v>584.836389838269</v>
      </c>
      <c r="F97" t="n">
        <v>2.13236714512911</v>
      </c>
      <c r="G97" t="n">
        <v>41.4016752685516</v>
      </c>
      <c r="H97" t="s">
        <v>301</v>
      </c>
      <c r="I97" s="1" t="str">
        <f>HYPERLINK("https://www.google.com/maps/@?api=1&amp;map_action=pano&amp;viewpoint=41.4016752685516,2.13236714512911","Open GSV")</f>
      </c>
      <c r="J97" t="s">
        <v>22</v>
      </c>
      <c r="K97" t="s">
        <v>22</v>
      </c>
      <c r="L97" t="s">
        <v>22</v>
      </c>
    </row>
    <row r="98">
      <c r="A98" t="s">
        <v>18</v>
      </c>
      <c r="B98" t="s">
        <v>5</v>
      </c>
      <c r="C98" t="s">
        <v>302</v>
      </c>
      <c r="D98" t="s">
        <v>303</v>
      </c>
      <c r="E98" t="n">
        <v>130.413916782513</v>
      </c>
      <c r="F98" t="n">
        <v>2.11953014075037</v>
      </c>
      <c r="G98" t="n">
        <v>41.3811796574144</v>
      </c>
      <c r="H98" t="s">
        <v>304</v>
      </c>
      <c r="I98" s="1" t="str">
        <f>HYPERLINK("https://www.google.com/maps/@?api=1&amp;map_action=pano&amp;viewpoint=41.3811796574144,2.11953014075037","Open GSV")</f>
      </c>
      <c r="J98" t="s">
        <v>22</v>
      </c>
      <c r="K98" t="s">
        <v>22</v>
      </c>
      <c r="L98" t="s">
        <v>22</v>
      </c>
    </row>
    <row r="99">
      <c r="A99" t="s">
        <v>18</v>
      </c>
      <c r="B99" t="s">
        <v>5</v>
      </c>
      <c r="C99" t="s">
        <v>305</v>
      </c>
      <c r="D99" t="s">
        <v>306</v>
      </c>
      <c r="E99" t="n">
        <v>253.145195605612</v>
      </c>
      <c r="F99" t="n">
        <v>2.18676337233591</v>
      </c>
      <c r="G99" t="n">
        <v>41.4096955895162</v>
      </c>
      <c r="H99" t="s">
        <v>307</v>
      </c>
      <c r="I99" s="1" t="str">
        <f>HYPERLINK("https://www.google.com/maps/@?api=1&amp;map_action=pano&amp;viewpoint=41.4096955895162,2.18676337233591","Open GSV")</f>
      </c>
      <c r="J99" t="s">
        <v>22</v>
      </c>
      <c r="K99" t="s">
        <v>22</v>
      </c>
      <c r="L99" t="s">
        <v>22</v>
      </c>
    </row>
    <row r="100">
      <c r="A100" t="s">
        <v>18</v>
      </c>
      <c r="B100" t="s">
        <v>5</v>
      </c>
      <c r="C100" t="s">
        <v>308</v>
      </c>
      <c r="D100" t="s">
        <v>309</v>
      </c>
      <c r="E100" t="n">
        <v>72.6798431017247</v>
      </c>
      <c r="F100" t="n">
        <v>2.13273161862471</v>
      </c>
      <c r="G100" t="n">
        <v>41.3974427750769</v>
      </c>
      <c r="H100" t="s">
        <v>310</v>
      </c>
      <c r="I100" s="1" t="str">
        <f>HYPERLINK("https://www.google.com/maps/@?api=1&amp;map_action=pano&amp;viewpoint=41.3974427750769,2.13273161862471","Open GSV")</f>
      </c>
      <c r="J100" t="s">
        <v>22</v>
      </c>
      <c r="K100" t="s">
        <v>22</v>
      </c>
      <c r="L100" t="s">
        <v>22</v>
      </c>
    </row>
    <row r="101">
      <c r="A101" t="s">
        <v>18</v>
      </c>
      <c r="B101" t="s">
        <v>5</v>
      </c>
      <c r="C101" t="s">
        <v>311</v>
      </c>
      <c r="D101" t="s">
        <v>312</v>
      </c>
      <c r="E101" t="n">
        <v>17.1586107809472</v>
      </c>
      <c r="F101" t="n">
        <v>2.14727195993733</v>
      </c>
      <c r="G101" t="n">
        <v>41.4013818368984</v>
      </c>
      <c r="H101" t="s">
        <v>313</v>
      </c>
      <c r="I101" s="1" t="str">
        <f>HYPERLINK("https://www.google.com/maps/@?api=1&amp;map_action=pano&amp;viewpoint=41.4013818368984,2.14727195993733","Open GSV")</f>
      </c>
      <c r="J101" t="s">
        <v>22</v>
      </c>
      <c r="K101" t="s">
        <v>22</v>
      </c>
      <c r="L101" t="s">
        <v>22</v>
      </c>
    </row>
    <row r="102">
      <c r="A102" t="s">
        <v>18</v>
      </c>
      <c r="B102" t="s">
        <v>5</v>
      </c>
      <c r="C102" t="s">
        <v>314</v>
      </c>
      <c r="D102" t="s">
        <v>315</v>
      </c>
      <c r="E102" t="n">
        <v>151.786323372692</v>
      </c>
      <c r="F102" t="n">
        <v>2.17990548856182</v>
      </c>
      <c r="G102" t="n">
        <v>41.4302465806657</v>
      </c>
      <c r="H102" t="s">
        <v>316</v>
      </c>
      <c r="I102" s="1" t="str">
        <f>HYPERLINK("https://www.google.com/maps/@?api=1&amp;map_action=pano&amp;viewpoint=41.4302465806657,2.17990548856182","Open GSV")</f>
      </c>
      <c r="J102" t="s">
        <v>22</v>
      </c>
      <c r="K102" t="s">
        <v>22</v>
      </c>
      <c r="L102" t="s">
        <v>22</v>
      </c>
    </row>
    <row r="103">
      <c r="A103" t="s">
        <v>18</v>
      </c>
      <c r="B103" t="s">
        <v>5</v>
      </c>
      <c r="C103" t="s">
        <v>317</v>
      </c>
      <c r="D103" t="s">
        <v>318</v>
      </c>
      <c r="E103" t="n">
        <v>77.8794779914425</v>
      </c>
      <c r="F103" t="n">
        <v>2.16955441957783</v>
      </c>
      <c r="G103" t="n">
        <v>41.3988674221386</v>
      </c>
      <c r="H103" t="s">
        <v>319</v>
      </c>
      <c r="I103" s="1" t="str">
        <f>HYPERLINK("https://www.google.com/maps/@?api=1&amp;map_action=pano&amp;viewpoint=41.3988674221386,2.16955441957783","Open GSV")</f>
      </c>
      <c r="J103" t="s">
        <v>22</v>
      </c>
      <c r="K103" t="s">
        <v>22</v>
      </c>
      <c r="L103" t="s">
        <v>22</v>
      </c>
    </row>
    <row r="104">
      <c r="A104" t="s">
        <v>18</v>
      </c>
      <c r="B104" t="s">
        <v>5</v>
      </c>
      <c r="C104" t="s">
        <v>320</v>
      </c>
      <c r="D104"/>
      <c r="E104" t="n">
        <v>42.14345936742</v>
      </c>
      <c r="F104" t="n">
        <v>2.22021033266</v>
      </c>
      <c r="G104" t="n">
        <v>41.4083933556807</v>
      </c>
      <c r="H104" t="s">
        <v>321</v>
      </c>
      <c r="I104" s="1" t="str">
        <f>HYPERLINK("https://www.google.com/maps/@?api=1&amp;map_action=pano&amp;viewpoint=41.4083933556807,2.22021033266","Open GSV")</f>
      </c>
      <c r="J104" t="s">
        <v>22</v>
      </c>
      <c r="K104" t="s">
        <v>22</v>
      </c>
      <c r="L104" t="s">
        <v>22</v>
      </c>
    </row>
    <row r="105">
      <c r="A105" t="s">
        <v>18</v>
      </c>
      <c r="B105" t="s">
        <v>5</v>
      </c>
      <c r="C105" t="s">
        <v>322</v>
      </c>
      <c r="D105" t="s">
        <v>306</v>
      </c>
      <c r="E105" t="n">
        <v>569.038742389826</v>
      </c>
      <c r="F105" t="n">
        <v>2.1867937310561</v>
      </c>
      <c r="G105" t="n">
        <v>41.4178857513245</v>
      </c>
      <c r="H105" t="s">
        <v>323</v>
      </c>
      <c r="I105" s="1" t="str">
        <f>HYPERLINK("https://www.google.com/maps/@?api=1&amp;map_action=pano&amp;viewpoint=41.4178857513245,2.1867937310561","Open GSV")</f>
      </c>
      <c r="J105" t="s">
        <v>22</v>
      </c>
      <c r="K105" t="s">
        <v>22</v>
      </c>
      <c r="L105" t="s">
        <v>22</v>
      </c>
    </row>
    <row r="106">
      <c r="A106" t="s">
        <v>18</v>
      </c>
      <c r="B106" t="s">
        <v>5</v>
      </c>
      <c r="C106" t="s">
        <v>324</v>
      </c>
      <c r="D106" t="s">
        <v>312</v>
      </c>
      <c r="E106" t="n">
        <v>141.108546721984</v>
      </c>
      <c r="F106" t="n">
        <v>2.14560422105371</v>
      </c>
      <c r="G106" t="n">
        <v>41.4022965133622</v>
      </c>
      <c r="H106" t="s">
        <v>325</v>
      </c>
      <c r="I106" s="1" t="str">
        <f>HYPERLINK("https://www.google.com/maps/@?api=1&amp;map_action=pano&amp;viewpoint=41.4022965133622,2.14560422105371","Open GSV")</f>
      </c>
      <c r="J106" t="s">
        <v>22</v>
      </c>
      <c r="K106" t="s">
        <v>22</v>
      </c>
      <c r="L106" t="s">
        <v>22</v>
      </c>
    </row>
    <row r="107">
      <c r="A107" t="s">
        <v>18</v>
      </c>
      <c r="B107" t="s">
        <v>5</v>
      </c>
      <c r="C107" t="s">
        <v>326</v>
      </c>
      <c r="D107" t="s">
        <v>327</v>
      </c>
      <c r="E107" t="n">
        <v>43.6450195531747</v>
      </c>
      <c r="F107" t="n">
        <v>2.18837980135862</v>
      </c>
      <c r="G107" t="n">
        <v>41.4042755108121</v>
      </c>
      <c r="H107" t="s">
        <v>328</v>
      </c>
      <c r="I107" s="1" t="str">
        <f>HYPERLINK("https://www.google.com/maps/@?api=1&amp;map_action=pano&amp;viewpoint=41.4042755108121,2.18837980135862","Open GSV")</f>
      </c>
      <c r="J107" t="s">
        <v>22</v>
      </c>
      <c r="K107" t="s">
        <v>22</v>
      </c>
      <c r="L107" t="s">
        <v>22</v>
      </c>
    </row>
    <row r="108">
      <c r="A108" t="s">
        <v>18</v>
      </c>
      <c r="B108" t="s">
        <v>5</v>
      </c>
      <c r="C108" t="s">
        <v>329</v>
      </c>
      <c r="D108" t="s">
        <v>330</v>
      </c>
      <c r="E108" t="n">
        <v>46.4483678933877</v>
      </c>
      <c r="F108" t="n">
        <v>2.1758231552125</v>
      </c>
      <c r="G108" t="n">
        <v>41.3733719343507</v>
      </c>
      <c r="H108" t="s">
        <v>331</v>
      </c>
      <c r="I108" s="1" t="str">
        <f>HYPERLINK("https://www.google.com/maps/@?api=1&amp;map_action=pano&amp;viewpoint=41.3733719343507,2.1758231552125","Open GSV")</f>
      </c>
      <c r="J108" t="s">
        <v>22</v>
      </c>
      <c r="K108" t="s">
        <v>22</v>
      </c>
      <c r="L108" t="s">
        <v>22</v>
      </c>
    </row>
    <row r="109">
      <c r="A109" t="s">
        <v>18</v>
      </c>
      <c r="B109" t="s">
        <v>5</v>
      </c>
      <c r="C109" t="s">
        <v>332</v>
      </c>
      <c r="D109" t="s">
        <v>333</v>
      </c>
      <c r="E109" t="n">
        <v>135.72869644279</v>
      </c>
      <c r="F109" t="n">
        <v>2.16365713173579</v>
      </c>
      <c r="G109" t="n">
        <v>41.408048682271</v>
      </c>
      <c r="H109" t="s">
        <v>334</v>
      </c>
      <c r="I109" s="1" t="str">
        <f>HYPERLINK("https://www.google.com/maps/@?api=1&amp;map_action=pano&amp;viewpoint=41.408048682271,2.16365713173579","Open GSV")</f>
      </c>
      <c r="J109" t="s">
        <v>22</v>
      </c>
      <c r="K109" t="s">
        <v>22</v>
      </c>
      <c r="L109" t="s">
        <v>22</v>
      </c>
    </row>
    <row r="110">
      <c r="A110" t="s">
        <v>18</v>
      </c>
      <c r="B110" t="s">
        <v>5</v>
      </c>
      <c r="C110" t="s">
        <v>335</v>
      </c>
      <c r="D110" t="s">
        <v>336</v>
      </c>
      <c r="E110" t="n">
        <v>70.3641615465424</v>
      </c>
      <c r="F110" t="n">
        <v>2.12857334474416</v>
      </c>
      <c r="G110" t="n">
        <v>41.3977669362819</v>
      </c>
      <c r="H110" t="s">
        <v>337</v>
      </c>
      <c r="I110" s="1" t="str">
        <f>HYPERLINK("https://www.google.com/maps/@?api=1&amp;map_action=pano&amp;viewpoint=41.3977669362819,2.12857334474416","Open GSV")</f>
      </c>
      <c r="J110" t="s">
        <v>22</v>
      </c>
      <c r="K110" t="s">
        <v>22</v>
      </c>
      <c r="L110" t="s">
        <v>22</v>
      </c>
    </row>
    <row r="111">
      <c r="A111" t="s">
        <v>18</v>
      </c>
      <c r="B111" t="s">
        <v>5</v>
      </c>
      <c r="C111" t="s">
        <v>338</v>
      </c>
      <c r="D111" t="s">
        <v>309</v>
      </c>
      <c r="E111" t="n">
        <v>29.9618642682993</v>
      </c>
      <c r="F111" t="n">
        <v>2.13497876797769</v>
      </c>
      <c r="G111" t="n">
        <v>41.4000503826201</v>
      </c>
      <c r="H111" t="s">
        <v>339</v>
      </c>
      <c r="I111" s="1" t="str">
        <f>HYPERLINK("https://www.google.com/maps/@?api=1&amp;map_action=pano&amp;viewpoint=41.4000503826201,2.13497876797769","Open GSV")</f>
      </c>
      <c r="J111" t="s">
        <v>22</v>
      </c>
      <c r="K111" t="s">
        <v>22</v>
      </c>
      <c r="L111" t="s">
        <v>22</v>
      </c>
    </row>
    <row r="112">
      <c r="A112" t="s">
        <v>18</v>
      </c>
      <c r="B112" t="s">
        <v>5</v>
      </c>
      <c r="C112" t="s">
        <v>340</v>
      </c>
      <c r="D112" t="s">
        <v>341</v>
      </c>
      <c r="E112" t="n">
        <v>112.888312870939</v>
      </c>
      <c r="F112" t="n">
        <v>2.16874879669154</v>
      </c>
      <c r="G112" t="n">
        <v>41.3990013851436</v>
      </c>
      <c r="H112" t="s">
        <v>342</v>
      </c>
      <c r="I112" s="1" t="str">
        <f>HYPERLINK("https://www.google.com/maps/@?api=1&amp;map_action=pano&amp;viewpoint=41.3990013851436,2.16874879669154","Open GSV")</f>
      </c>
      <c r="J112" t="s">
        <v>22</v>
      </c>
      <c r="K112" t="s">
        <v>22</v>
      </c>
      <c r="L112" t="s">
        <v>22</v>
      </c>
    </row>
    <row r="113">
      <c r="A113" t="s">
        <v>18</v>
      </c>
      <c r="B113" t="s">
        <v>5</v>
      </c>
      <c r="C113" t="s">
        <v>343</v>
      </c>
      <c r="D113" t="s">
        <v>327</v>
      </c>
      <c r="E113" t="n">
        <v>28.4522005180008</v>
      </c>
      <c r="F113" t="n">
        <v>2.18871729983184</v>
      </c>
      <c r="G113" t="n">
        <v>41.4045760438868</v>
      </c>
      <c r="H113" t="s">
        <v>344</v>
      </c>
      <c r="I113" s="1" t="str">
        <f>HYPERLINK("https://www.google.com/maps/@?api=1&amp;map_action=pano&amp;viewpoint=41.4045760438868,2.18871729983184","Open GSV")</f>
      </c>
      <c r="J113" t="s">
        <v>22</v>
      </c>
      <c r="K113" t="s">
        <v>22</v>
      </c>
      <c r="L113" t="s">
        <v>22</v>
      </c>
    </row>
    <row r="114">
      <c r="A114" t="s">
        <v>18</v>
      </c>
      <c r="B114" t="s">
        <v>5</v>
      </c>
      <c r="C114" t="s">
        <v>345</v>
      </c>
      <c r="D114" t="s">
        <v>346</v>
      </c>
      <c r="E114" t="n">
        <v>20.9151540806555</v>
      </c>
      <c r="F114" t="n">
        <v>2.19451268527666</v>
      </c>
      <c r="G114" t="n">
        <v>41.3873769812233</v>
      </c>
      <c r="H114" t="s">
        <v>347</v>
      </c>
      <c r="I114" s="1" t="str">
        <f>HYPERLINK("https://www.google.com/maps/@?api=1&amp;map_action=pano&amp;viewpoint=41.3873769812233,2.19451268527666","Open GSV")</f>
      </c>
      <c r="J114" t="s">
        <v>22</v>
      </c>
      <c r="K114" t="s">
        <v>22</v>
      </c>
      <c r="L114" t="s">
        <v>22</v>
      </c>
    </row>
    <row r="115">
      <c r="A115" t="s">
        <v>18</v>
      </c>
      <c r="B115" t="s">
        <v>5</v>
      </c>
      <c r="C115" t="s">
        <v>348</v>
      </c>
      <c r="D115" t="s">
        <v>173</v>
      </c>
      <c r="E115" t="n">
        <v>48.8126640598025</v>
      </c>
      <c r="F115" t="n">
        <v>2.18839194950233</v>
      </c>
      <c r="G115" t="n">
        <v>41.4047657940452</v>
      </c>
      <c r="H115" t="s">
        <v>349</v>
      </c>
      <c r="I115" s="1" t="str">
        <f>HYPERLINK("https://www.google.com/maps/@?api=1&amp;map_action=pano&amp;viewpoint=41.4047657940452,2.18839194950233","Open GSV")</f>
      </c>
      <c r="J115" t="s">
        <v>22</v>
      </c>
      <c r="K115" t="s">
        <v>22</v>
      </c>
      <c r="L115" t="s">
        <v>22</v>
      </c>
    </row>
    <row r="116">
      <c r="A116" t="s">
        <v>18</v>
      </c>
      <c r="B116" t="s">
        <v>5</v>
      </c>
      <c r="C116" t="s">
        <v>350</v>
      </c>
      <c r="D116" t="s">
        <v>173</v>
      </c>
      <c r="E116" t="n">
        <v>186.3694200152</v>
      </c>
      <c r="F116" t="n">
        <v>2.19050995923685</v>
      </c>
      <c r="G116" t="n">
        <v>41.4062705653632</v>
      </c>
      <c r="H116" t="s">
        <v>351</v>
      </c>
      <c r="I116" s="1" t="str">
        <f>HYPERLINK("https://www.google.com/maps/@?api=1&amp;map_action=pano&amp;viewpoint=41.4062705653632,2.19050995923685","Open GSV")</f>
      </c>
      <c r="J116" t="s">
        <v>22</v>
      </c>
      <c r="K116" t="s">
        <v>22</v>
      </c>
      <c r="L116" t="s">
        <v>22</v>
      </c>
    </row>
    <row r="117">
      <c r="A117" t="s">
        <v>18</v>
      </c>
      <c r="B117" t="s">
        <v>5</v>
      </c>
      <c r="C117" t="s">
        <v>352</v>
      </c>
      <c r="D117" t="s">
        <v>306</v>
      </c>
      <c r="E117" t="n">
        <v>80.9111759383202</v>
      </c>
      <c r="F117" t="n">
        <v>2.18709889942184</v>
      </c>
      <c r="G117" t="n">
        <v>41.4454106939564</v>
      </c>
      <c r="H117" t="s">
        <v>353</v>
      </c>
      <c r="I117" s="1" t="str">
        <f>HYPERLINK("https://www.google.com/maps/@?api=1&amp;map_action=pano&amp;viewpoint=41.4454106939564,2.18709889942184","Open GSV")</f>
      </c>
      <c r="J117" t="s">
        <v>22</v>
      </c>
      <c r="K117" t="s">
        <v>22</v>
      </c>
      <c r="L117" t="s">
        <v>22</v>
      </c>
    </row>
    <row r="118">
      <c r="A118" t="s">
        <v>18</v>
      </c>
      <c r="B118" t="s">
        <v>5</v>
      </c>
      <c r="C118" t="s">
        <v>354</v>
      </c>
      <c r="D118" t="s">
        <v>336</v>
      </c>
      <c r="E118" t="n">
        <v>48.9842999719517</v>
      </c>
      <c r="F118" t="n">
        <v>2.12123541589475</v>
      </c>
      <c r="G118" t="n">
        <v>41.4016290617489</v>
      </c>
      <c r="H118" t="s">
        <v>355</v>
      </c>
      <c r="I118" s="1" t="str">
        <f>HYPERLINK("https://www.google.com/maps/@?api=1&amp;map_action=pano&amp;viewpoint=41.4016290617489,2.12123541589475","Open GSV")</f>
      </c>
      <c r="J118" t="s">
        <v>22</v>
      </c>
      <c r="K118" t="s">
        <v>22</v>
      </c>
      <c r="L118" t="s">
        <v>22</v>
      </c>
    </row>
    <row r="119">
      <c r="A119" t="s">
        <v>18</v>
      </c>
      <c r="B119" t="s">
        <v>5</v>
      </c>
      <c r="C119" t="s">
        <v>356</v>
      </c>
      <c r="D119" t="s">
        <v>357</v>
      </c>
      <c r="E119" t="n">
        <v>143.427566192012</v>
      </c>
      <c r="F119" t="n">
        <v>2.1825383515025</v>
      </c>
      <c r="G119" t="n">
        <v>41.4024451406222</v>
      </c>
      <c r="H119" t="s">
        <v>358</v>
      </c>
      <c r="I119" s="1" t="str">
        <f>HYPERLINK("https://www.google.com/maps/@?api=1&amp;map_action=pano&amp;viewpoint=41.4024451406222,2.1825383515025","Open GSV")</f>
      </c>
      <c r="J119" t="s">
        <v>22</v>
      </c>
      <c r="K119" t="s">
        <v>22</v>
      </c>
      <c r="L119" t="s">
        <v>22</v>
      </c>
    </row>
    <row r="120">
      <c r="A120" t="s">
        <v>18</v>
      </c>
      <c r="B120" t="s">
        <v>5</v>
      </c>
      <c r="C120" t="s">
        <v>359</v>
      </c>
      <c r="D120" t="s">
        <v>360</v>
      </c>
      <c r="E120" t="n">
        <v>369.603409528375</v>
      </c>
      <c r="F120" t="n">
        <v>2.14878194404732</v>
      </c>
      <c r="G120" t="n">
        <v>41.3809799494656</v>
      </c>
      <c r="H120" t="s">
        <v>361</v>
      </c>
      <c r="I120" s="1" t="str">
        <f>HYPERLINK("https://www.google.com/maps/@?api=1&amp;map_action=pano&amp;viewpoint=41.3809799494656,2.14878194404732","Open GSV")</f>
      </c>
      <c r="J120" t="s">
        <v>22</v>
      </c>
      <c r="K120" t="s">
        <v>22</v>
      </c>
      <c r="L120" t="s">
        <v>22</v>
      </c>
    </row>
    <row r="121">
      <c r="A121" t="s">
        <v>18</v>
      </c>
      <c r="B121" t="s">
        <v>5</v>
      </c>
      <c r="C121" t="s">
        <v>362</v>
      </c>
      <c r="D121" t="s">
        <v>336</v>
      </c>
      <c r="E121" t="n">
        <v>63.6953259869981</v>
      </c>
      <c r="F121" t="n">
        <v>2.1526607228</v>
      </c>
      <c r="G121" t="n">
        <v>41.3990640695039</v>
      </c>
      <c r="H121" t="s">
        <v>363</v>
      </c>
      <c r="I121" s="1" t="str">
        <f>HYPERLINK("https://www.google.com/maps/@?api=1&amp;map_action=pano&amp;viewpoint=41.3990640695039,2.1526607228","Open GSV")</f>
      </c>
      <c r="J121" t="s">
        <v>22</v>
      </c>
      <c r="K121" t="s">
        <v>22</v>
      </c>
      <c r="L121" t="s">
        <v>22</v>
      </c>
    </row>
    <row r="122">
      <c r="A122" t="s">
        <v>18</v>
      </c>
      <c r="B122" t="s">
        <v>5</v>
      </c>
      <c r="C122" t="s">
        <v>364</v>
      </c>
      <c r="D122" t="s">
        <v>309</v>
      </c>
      <c r="E122" t="n">
        <v>93.6312440344926</v>
      </c>
      <c r="F122" t="n">
        <v>2.13553774811311</v>
      </c>
      <c r="G122" t="n">
        <v>41.4007132179575</v>
      </c>
      <c r="H122" t="s">
        <v>365</v>
      </c>
      <c r="I122" s="1" t="str">
        <f>HYPERLINK("https://www.google.com/maps/@?api=1&amp;map_action=pano&amp;viewpoint=41.4007132179575,2.13553774811311","Open GSV")</f>
      </c>
      <c r="J122" t="s">
        <v>22</v>
      </c>
      <c r="K122" t="s">
        <v>22</v>
      </c>
      <c r="L122" t="s">
        <v>22</v>
      </c>
    </row>
    <row r="123">
      <c r="A123" t="s">
        <v>18</v>
      </c>
      <c r="B123" t="s">
        <v>5</v>
      </c>
      <c r="C123" t="s">
        <v>366</v>
      </c>
      <c r="D123" t="s">
        <v>306</v>
      </c>
      <c r="E123" t="n">
        <v>66.5247504189458</v>
      </c>
      <c r="F123" t="n">
        <v>2.18700117429111</v>
      </c>
      <c r="G123" t="n">
        <v>41.4159759939961</v>
      </c>
      <c r="H123" t="s">
        <v>367</v>
      </c>
      <c r="I123" s="1" t="str">
        <f>HYPERLINK("https://www.google.com/maps/@?api=1&amp;map_action=pano&amp;viewpoint=41.4159759939961,2.18700117429111","Open GSV")</f>
      </c>
      <c r="J123" t="s">
        <v>22</v>
      </c>
      <c r="K123" t="s">
        <v>22</v>
      </c>
      <c r="L123" t="s">
        <v>22</v>
      </c>
    </row>
    <row r="124">
      <c r="A124" t="s">
        <v>18</v>
      </c>
      <c r="B124" t="s">
        <v>5</v>
      </c>
      <c r="C124" t="s">
        <v>368</v>
      </c>
      <c r="D124" t="s">
        <v>173</v>
      </c>
      <c r="E124" t="n">
        <v>15.6276695764228</v>
      </c>
      <c r="F124" t="n">
        <v>2.16845869996998</v>
      </c>
      <c r="G124" t="n">
        <v>41.3896149938509</v>
      </c>
      <c r="H124" t="s">
        <v>369</v>
      </c>
      <c r="I124" s="1" t="str">
        <f>HYPERLINK("https://www.google.com/maps/@?api=1&amp;map_action=pano&amp;viewpoint=41.3896149938509,2.16845869996998","Open GSV")</f>
      </c>
      <c r="J124" t="s">
        <v>22</v>
      </c>
      <c r="K124" t="s">
        <v>22</v>
      </c>
      <c r="L124" t="s">
        <v>22</v>
      </c>
    </row>
    <row r="125">
      <c r="A125" t="s">
        <v>18</v>
      </c>
      <c r="B125" t="s">
        <v>5</v>
      </c>
      <c r="C125" t="s">
        <v>370</v>
      </c>
      <c r="D125" t="s">
        <v>371</v>
      </c>
      <c r="E125" t="n">
        <v>135.250570057719</v>
      </c>
      <c r="F125" t="n">
        <v>2.14555720091147</v>
      </c>
      <c r="G125" t="n">
        <v>41.4322800885034</v>
      </c>
      <c r="H125" t="s">
        <v>372</v>
      </c>
      <c r="I125" s="1" t="str">
        <f>HYPERLINK("https://www.google.com/maps/@?api=1&amp;map_action=pano&amp;viewpoint=41.4322800885034,2.14555720091147","Open GSV")</f>
      </c>
      <c r="J125" t="s">
        <v>22</v>
      </c>
      <c r="K125" t="s">
        <v>22</v>
      </c>
      <c r="L125" t="s">
        <v>22</v>
      </c>
    </row>
    <row r="126">
      <c r="A126" t="s">
        <v>18</v>
      </c>
      <c r="B126" t="s">
        <v>5</v>
      </c>
      <c r="C126" t="s">
        <v>373</v>
      </c>
      <c r="D126" t="s">
        <v>374</v>
      </c>
      <c r="E126" t="n">
        <v>16.0602944404753</v>
      </c>
      <c r="F126" t="n">
        <v>2.08929654999999</v>
      </c>
      <c r="G126" t="n">
        <v>41.4286944438755</v>
      </c>
      <c r="H126" t="s">
        <v>375</v>
      </c>
      <c r="I126" s="1" t="str">
        <f>HYPERLINK("https://www.google.com/maps/@?api=1&amp;map_action=pano&amp;viewpoint=41.4286944438755,2.08929654999999","Open GSV")</f>
      </c>
      <c r="J126" t="s">
        <v>22</v>
      </c>
      <c r="K126" t="s">
        <v>22</v>
      </c>
      <c r="L126" t="s">
        <v>22</v>
      </c>
    </row>
    <row r="127">
      <c r="A127" t="s">
        <v>18</v>
      </c>
      <c r="B127" t="s">
        <v>5</v>
      </c>
      <c r="C127" t="s">
        <v>376</v>
      </c>
      <c r="D127" t="s">
        <v>377</v>
      </c>
      <c r="E127" t="n">
        <v>45.0187629222731</v>
      </c>
      <c r="F127" t="n">
        <v>2.13937581281297</v>
      </c>
      <c r="G127" t="n">
        <v>41.4152561256653</v>
      </c>
      <c r="H127" t="s">
        <v>378</v>
      </c>
      <c r="I127" s="1" t="str">
        <f>HYPERLINK("https://www.google.com/maps/@?api=1&amp;map_action=pano&amp;viewpoint=41.4152561256653,2.13937581281297","Open GSV")</f>
      </c>
      <c r="J127" t="s">
        <v>22</v>
      </c>
      <c r="K127" t="s">
        <v>22</v>
      </c>
      <c r="L127" t="s">
        <v>22</v>
      </c>
    </row>
    <row r="128">
      <c r="A128" t="s">
        <v>18</v>
      </c>
      <c r="B128" t="s">
        <v>5</v>
      </c>
      <c r="C128" t="s">
        <v>379</v>
      </c>
      <c r="D128" t="s">
        <v>377</v>
      </c>
      <c r="E128" t="n">
        <v>86.2264622921871</v>
      </c>
      <c r="F128" t="n">
        <v>2.13864569884756</v>
      </c>
      <c r="G128" t="n">
        <v>41.4152124056617</v>
      </c>
      <c r="H128" t="s">
        <v>380</v>
      </c>
      <c r="I128" s="1" t="str">
        <f>HYPERLINK("https://www.google.com/maps/@?api=1&amp;map_action=pano&amp;viewpoint=41.4152124056617,2.13864569884756","Open GSV")</f>
      </c>
      <c r="J128" t="s">
        <v>22</v>
      </c>
      <c r="K128" t="s">
        <v>22</v>
      </c>
      <c r="L128" t="s">
        <v>22</v>
      </c>
    </row>
    <row r="129">
      <c r="A129" t="s">
        <v>18</v>
      </c>
      <c r="B129" t="s">
        <v>5</v>
      </c>
      <c r="C129" t="s">
        <v>381</v>
      </c>
      <c r="D129" t="s">
        <v>382</v>
      </c>
      <c r="E129" t="n">
        <v>106.606195340573</v>
      </c>
      <c r="F129" t="n">
        <v>2.1806003659059</v>
      </c>
      <c r="G129" t="n">
        <v>41.4188636979174</v>
      </c>
      <c r="H129" t="s">
        <v>383</v>
      </c>
      <c r="I129" s="1" t="str">
        <f>HYPERLINK("https://www.google.com/maps/@?api=1&amp;map_action=pano&amp;viewpoint=41.4188636979174,2.1806003659059","Open GSV")</f>
      </c>
      <c r="J129" t="s">
        <v>22</v>
      </c>
      <c r="K129" t="s">
        <v>22</v>
      </c>
      <c r="L129" t="s">
        <v>22</v>
      </c>
    </row>
    <row r="130">
      <c r="A130" t="s">
        <v>18</v>
      </c>
      <c r="B130" t="s">
        <v>5</v>
      </c>
      <c r="C130" t="s">
        <v>384</v>
      </c>
      <c r="D130" t="s">
        <v>306</v>
      </c>
      <c r="E130" t="n">
        <v>155.520606398883</v>
      </c>
      <c r="F130" t="n">
        <v>2.18681962870801</v>
      </c>
      <c r="G130" t="n">
        <v>41.414616178106</v>
      </c>
      <c r="H130" t="s">
        <v>385</v>
      </c>
      <c r="I130" s="1" t="str">
        <f>HYPERLINK("https://www.google.com/maps/@?api=1&amp;map_action=pano&amp;viewpoint=41.414616178106,2.18681962870801","Open GSV")</f>
      </c>
      <c r="J130" t="s">
        <v>22</v>
      </c>
      <c r="K130" t="s">
        <v>22</v>
      </c>
      <c r="L130" t="s">
        <v>22</v>
      </c>
    </row>
    <row r="131">
      <c r="A131" t="s">
        <v>18</v>
      </c>
      <c r="B131" t="s">
        <v>5</v>
      </c>
      <c r="C131" t="s">
        <v>386</v>
      </c>
      <c r="D131" t="s">
        <v>387</v>
      </c>
      <c r="E131" t="n">
        <v>29.1810270952731</v>
      </c>
      <c r="F131" t="n">
        <v>2.11380053013668</v>
      </c>
      <c r="G131" t="n">
        <v>41.3955269391329</v>
      </c>
      <c r="H131" t="s">
        <v>388</v>
      </c>
      <c r="I131" s="1" t="str">
        <f>HYPERLINK("https://www.google.com/maps/@?api=1&amp;map_action=pano&amp;viewpoint=41.3955269391329,2.11380053013668","Open GSV")</f>
      </c>
      <c r="J131" t="s">
        <v>22</v>
      </c>
      <c r="K131" t="s">
        <v>22</v>
      </c>
      <c r="L131" t="s">
        <v>22</v>
      </c>
    </row>
    <row r="132">
      <c r="A132" t="s">
        <v>18</v>
      </c>
      <c r="B132" t="s">
        <v>5</v>
      </c>
      <c r="C132" t="s">
        <v>389</v>
      </c>
      <c r="D132" t="s">
        <v>306</v>
      </c>
      <c r="E132" t="n">
        <v>35.7779244246102</v>
      </c>
      <c r="F132" t="n">
        <v>2.18680527112992</v>
      </c>
      <c r="G132" t="n">
        <v>41.4121623956812</v>
      </c>
      <c r="H132" t="s">
        <v>390</v>
      </c>
      <c r="I132" s="1" t="str">
        <f>HYPERLINK("https://www.google.com/maps/@?api=1&amp;map_action=pano&amp;viewpoint=41.4121623956812,2.18680527112992","Open GSV")</f>
      </c>
      <c r="J132" t="s">
        <v>22</v>
      </c>
      <c r="K132" t="s">
        <v>22</v>
      </c>
      <c r="L132" t="s">
        <v>22</v>
      </c>
    </row>
    <row r="133">
      <c r="A133" t="s">
        <v>18</v>
      </c>
      <c r="B133" t="s">
        <v>5</v>
      </c>
      <c r="C133" t="s">
        <v>391</v>
      </c>
      <c r="D133" t="s">
        <v>392</v>
      </c>
      <c r="E133" t="n">
        <v>21.092692085017</v>
      </c>
      <c r="F133" t="n">
        <v>2.20686714944672</v>
      </c>
      <c r="G133" t="n">
        <v>41.4332693227227</v>
      </c>
      <c r="H133" t="s">
        <v>393</v>
      </c>
      <c r="I133" s="1" t="str">
        <f>HYPERLINK("https://www.google.com/maps/@?api=1&amp;map_action=pano&amp;viewpoint=41.4332693227227,2.20686714944672","Open GSV")</f>
      </c>
      <c r="J133" t="s">
        <v>22</v>
      </c>
      <c r="K133" t="s">
        <v>22</v>
      </c>
      <c r="L133" t="s">
        <v>22</v>
      </c>
    </row>
    <row r="134">
      <c r="A134" t="s">
        <v>18</v>
      </c>
      <c r="B134" t="s">
        <v>6</v>
      </c>
      <c r="C134" t="s">
        <v>394</v>
      </c>
      <c r="D134"/>
      <c r="E134" t="n">
        <v>115.038407763087</v>
      </c>
      <c r="F134" t="n">
        <v>2.20180601803758</v>
      </c>
      <c r="G134" t="n">
        <v>41.408222688871</v>
      </c>
      <c r="H134" t="s">
        <v>395</v>
      </c>
      <c r="I134" s="1" t="str">
        <f>HYPERLINK("https://www.google.com/maps/@?api=1&amp;map_action=pano&amp;viewpoint=41.408222688871,2.20180601803758","Open GSV")</f>
      </c>
      <c r="J134" t="s">
        <v>22</v>
      </c>
      <c r="K134" t="s">
        <v>22</v>
      </c>
      <c r="L134" t="s">
        <v>22</v>
      </c>
    </row>
    <row r="135">
      <c r="A135" t="s">
        <v>18</v>
      </c>
      <c r="B135" t="s">
        <v>6</v>
      </c>
      <c r="C135" t="s">
        <v>396</v>
      </c>
      <c r="D135"/>
      <c r="E135" t="n">
        <v>47.6943525833778</v>
      </c>
      <c r="F135" t="n">
        <v>2.19162149713548</v>
      </c>
      <c r="G135" t="n">
        <v>41.422572785804</v>
      </c>
      <c r="H135" t="s">
        <v>397</v>
      </c>
      <c r="I135" s="1" t="str">
        <f>HYPERLINK("https://www.google.com/maps/@?api=1&amp;map_action=pano&amp;viewpoint=41.422572785804,2.19162149713548","Open GSV")</f>
      </c>
      <c r="J135" t="s">
        <v>22</v>
      </c>
      <c r="K135" t="s">
        <v>22</v>
      </c>
      <c r="L135" t="s">
        <v>22</v>
      </c>
    </row>
    <row r="136">
      <c r="A136" t="s">
        <v>18</v>
      </c>
      <c r="B136" t="s">
        <v>6</v>
      </c>
      <c r="C136" t="s">
        <v>398</v>
      </c>
      <c r="D136"/>
      <c r="E136" t="n">
        <v>60.4481330700232</v>
      </c>
      <c r="F136" t="n">
        <v>2.16858322777501</v>
      </c>
      <c r="G136" t="n">
        <v>41.389289153184</v>
      </c>
      <c r="H136" t="s">
        <v>399</v>
      </c>
      <c r="I136" s="1" t="str">
        <f>HYPERLINK("https://www.google.com/maps/@?api=1&amp;map_action=pano&amp;viewpoint=41.389289153184,2.16858322777501","Open GSV")</f>
      </c>
      <c r="J136" t="s">
        <v>22</v>
      </c>
      <c r="K136" t="s">
        <v>22</v>
      </c>
      <c r="L136" t="s">
        <v>22</v>
      </c>
    </row>
    <row r="137">
      <c r="A137" t="s">
        <v>18</v>
      </c>
      <c r="B137" t="s">
        <v>6</v>
      </c>
      <c r="C137" t="s">
        <v>400</v>
      </c>
      <c r="D137"/>
      <c r="E137" t="n">
        <v>102.655400276772</v>
      </c>
      <c r="F137" t="n">
        <v>2.13506480300112</v>
      </c>
      <c r="G137" t="n">
        <v>41.3921033193577</v>
      </c>
      <c r="H137" t="s">
        <v>401</v>
      </c>
      <c r="I137" s="1" t="str">
        <f>HYPERLINK("https://www.google.com/maps/@?api=1&amp;map_action=pano&amp;viewpoint=41.3921033193577,2.13506480300112","Open GSV")</f>
      </c>
      <c r="J137" t="s">
        <v>22</v>
      </c>
      <c r="K137" t="s">
        <v>22</v>
      </c>
      <c r="L137" t="s">
        <v>22</v>
      </c>
    </row>
    <row r="138">
      <c r="A138" t="s">
        <v>18</v>
      </c>
      <c r="B138" t="s">
        <v>6</v>
      </c>
      <c r="C138" t="s">
        <v>402</v>
      </c>
      <c r="D138"/>
      <c r="E138" t="n">
        <v>109.485047533417</v>
      </c>
      <c r="F138" t="n">
        <v>2.16919711866135</v>
      </c>
      <c r="G138" t="n">
        <v>41.3911952045927</v>
      </c>
      <c r="H138" t="s">
        <v>403</v>
      </c>
      <c r="I138" s="1" t="str">
        <f>HYPERLINK("https://www.google.com/maps/@?api=1&amp;map_action=pano&amp;viewpoint=41.3911952045927,2.16919711866135","Open GSV")</f>
      </c>
      <c r="J138" t="s">
        <v>22</v>
      </c>
      <c r="K138" t="s">
        <v>22</v>
      </c>
      <c r="L138" t="s">
        <v>22</v>
      </c>
    </row>
    <row r="139">
      <c r="A139" t="s">
        <v>18</v>
      </c>
      <c r="B139" t="s">
        <v>6</v>
      </c>
      <c r="C139" t="s">
        <v>404</v>
      </c>
      <c r="D139"/>
      <c r="E139" t="n">
        <v>124.022208321365</v>
      </c>
      <c r="F139" t="n">
        <v>2.17174332050109</v>
      </c>
      <c r="G139" t="n">
        <v>41.3908927177552</v>
      </c>
      <c r="H139" t="s">
        <v>405</v>
      </c>
      <c r="I139" s="1" t="str">
        <f>HYPERLINK("https://www.google.com/maps/@?api=1&amp;map_action=pano&amp;viewpoint=41.3908927177552,2.17174332050109","Open GSV")</f>
      </c>
      <c r="J139" t="s">
        <v>22</v>
      </c>
      <c r="K139" t="s">
        <v>22</v>
      </c>
      <c r="L139" t="s">
        <v>22</v>
      </c>
    </row>
    <row r="140">
      <c r="A140" t="s">
        <v>18</v>
      </c>
      <c r="B140" t="s">
        <v>6</v>
      </c>
      <c r="C140" t="s">
        <v>406</v>
      </c>
      <c r="D140"/>
      <c r="E140" t="n">
        <v>125.118030170696</v>
      </c>
      <c r="F140" t="n">
        <v>2.16577516348601</v>
      </c>
      <c r="G140" t="n">
        <v>41.3954154030751</v>
      </c>
      <c r="H140" t="s">
        <v>407</v>
      </c>
      <c r="I140" s="1" t="str">
        <f>HYPERLINK("https://www.google.com/maps/@?api=1&amp;map_action=pano&amp;viewpoint=41.3954154030751,2.16577516348601","Open GSV")</f>
      </c>
      <c r="J140" t="s">
        <v>22</v>
      </c>
      <c r="K140" t="s">
        <v>22</v>
      </c>
      <c r="L140" t="s">
        <v>22</v>
      </c>
    </row>
    <row r="141">
      <c r="A141" t="s">
        <v>18</v>
      </c>
      <c r="B141" t="s">
        <v>6</v>
      </c>
      <c r="C141" t="s">
        <v>408</v>
      </c>
      <c r="D141"/>
      <c r="E141" t="n">
        <v>131.94473440266</v>
      </c>
      <c r="F141" t="n">
        <v>2.1728293646673</v>
      </c>
      <c r="G141" t="n">
        <v>41.3900880745676</v>
      </c>
      <c r="H141" t="s">
        <v>409</v>
      </c>
      <c r="I141" s="1" t="str">
        <f>HYPERLINK("https://www.google.com/maps/@?api=1&amp;map_action=pano&amp;viewpoint=41.3900880745676,2.1728293646673","Open GSV")</f>
      </c>
      <c r="J141" t="s">
        <v>22</v>
      </c>
      <c r="K141" t="s">
        <v>22</v>
      </c>
      <c r="L141" t="s">
        <v>22</v>
      </c>
    </row>
    <row r="142">
      <c r="A142" t="s">
        <v>18</v>
      </c>
      <c r="B142" t="s">
        <v>6</v>
      </c>
      <c r="C142" t="s">
        <v>410</v>
      </c>
      <c r="D142"/>
      <c r="E142" t="n">
        <v>112.201605261818</v>
      </c>
      <c r="F142" t="n">
        <v>2.17483762057556</v>
      </c>
      <c r="G142" t="n">
        <v>41.4014161763689</v>
      </c>
      <c r="H142" t="s">
        <v>411</v>
      </c>
      <c r="I142" s="1" t="str">
        <f>HYPERLINK("https://www.google.com/maps/@?api=1&amp;map_action=pano&amp;viewpoint=41.4014161763689,2.17483762057556","Open GSV")</f>
      </c>
      <c r="J142" t="s">
        <v>22</v>
      </c>
      <c r="K142" t="s">
        <v>22</v>
      </c>
      <c r="L142" t="s">
        <v>22</v>
      </c>
    </row>
    <row r="143">
      <c r="A143" t="s">
        <v>18</v>
      </c>
      <c r="B143" t="s">
        <v>6</v>
      </c>
      <c r="C143" t="s">
        <v>412</v>
      </c>
      <c r="D143"/>
      <c r="E143" t="n">
        <v>129.751750229083</v>
      </c>
      <c r="F143" t="n">
        <v>2.19552000776185</v>
      </c>
      <c r="G143" t="n">
        <v>41.4470711439428</v>
      </c>
      <c r="H143" t="s">
        <v>413</v>
      </c>
      <c r="I143" s="1" t="str">
        <f>HYPERLINK("https://www.google.com/maps/@?api=1&amp;map_action=pano&amp;viewpoint=41.4470711439428,2.19552000776185","Open GSV")</f>
      </c>
      <c r="J143" t="s">
        <v>22</v>
      </c>
      <c r="K143" t="s">
        <v>22</v>
      </c>
      <c r="L143" t="s">
        <v>22</v>
      </c>
    </row>
    <row r="144">
      <c r="A144" t="s">
        <v>18</v>
      </c>
      <c r="B144" t="s">
        <v>6</v>
      </c>
      <c r="C144" t="s">
        <v>414</v>
      </c>
      <c r="D144"/>
      <c r="E144" t="n">
        <v>47.1113017709697</v>
      </c>
      <c r="F144" t="n">
        <v>2.20054683768457</v>
      </c>
      <c r="G144" t="n">
        <v>41.448838165109</v>
      </c>
      <c r="H144" t="s">
        <v>415</v>
      </c>
      <c r="I144" s="1" t="str">
        <f>HYPERLINK("https://www.google.com/maps/@?api=1&amp;map_action=pano&amp;viewpoint=41.448838165109,2.20054683768457","Open GSV")</f>
      </c>
      <c r="J144" t="s">
        <v>22</v>
      </c>
      <c r="K144" t="s">
        <v>22</v>
      </c>
      <c r="L144" t="s">
        <v>22</v>
      </c>
    </row>
    <row r="145">
      <c r="A145" t="s">
        <v>18</v>
      </c>
      <c r="B145" t="s">
        <v>6</v>
      </c>
      <c r="C145" t="s">
        <v>416</v>
      </c>
      <c r="D145"/>
      <c r="E145" t="n">
        <v>46.5597399392179</v>
      </c>
      <c r="F145" t="n">
        <v>2.20067059983555</v>
      </c>
      <c r="G145" t="n">
        <v>41.4487358887718</v>
      </c>
      <c r="H145" t="s">
        <v>417</v>
      </c>
      <c r="I145" s="1" t="str">
        <f>HYPERLINK("https://www.google.com/maps/@?api=1&amp;map_action=pano&amp;viewpoint=41.4487358887718,2.20067059983555","Open GSV")</f>
      </c>
      <c r="J145" t="s">
        <v>22</v>
      </c>
      <c r="K145" t="s">
        <v>22</v>
      </c>
      <c r="L145" t="s">
        <v>22</v>
      </c>
    </row>
    <row r="146">
      <c r="A146" t="s">
        <v>18</v>
      </c>
      <c r="B146" t="s">
        <v>6</v>
      </c>
      <c r="C146" t="s">
        <v>418</v>
      </c>
      <c r="D146"/>
      <c r="E146" t="n">
        <v>609.468763682965</v>
      </c>
      <c r="F146" t="n">
        <v>2.15350447965016</v>
      </c>
      <c r="G146" t="n">
        <v>41.3980549178441</v>
      </c>
      <c r="H146" t="s">
        <v>419</v>
      </c>
      <c r="I146" s="1" t="str">
        <f>HYPERLINK("https://www.google.com/maps/@?api=1&amp;map_action=pano&amp;viewpoint=41.3980549178441,2.15350447965016","Open GSV")</f>
      </c>
      <c r="J146" t="s">
        <v>22</v>
      </c>
      <c r="K146" t="s">
        <v>22</v>
      </c>
      <c r="L146" t="s">
        <v>22</v>
      </c>
    </row>
    <row r="147">
      <c r="A147" t="s">
        <v>18</v>
      </c>
      <c r="B147" t="s">
        <v>6</v>
      </c>
      <c r="C147" t="s">
        <v>420</v>
      </c>
      <c r="D147"/>
      <c r="E147" t="n">
        <v>126.174216673085</v>
      </c>
      <c r="F147" t="n">
        <v>2.1181081156849</v>
      </c>
      <c r="G147" t="n">
        <v>41.3918503093856</v>
      </c>
      <c r="H147" t="s">
        <v>421</v>
      </c>
      <c r="I147" s="1" t="str">
        <f>HYPERLINK("https://www.google.com/maps/@?api=1&amp;map_action=pano&amp;viewpoint=41.3918503093856,2.1181081156849","Open GSV")</f>
      </c>
      <c r="J147" t="s">
        <v>22</v>
      </c>
      <c r="K147" t="s">
        <v>22</v>
      </c>
      <c r="L147" t="s">
        <v>22</v>
      </c>
    </row>
    <row r="148">
      <c r="A148" t="s">
        <v>18</v>
      </c>
      <c r="B148" t="s">
        <v>6</v>
      </c>
      <c r="C148" t="s">
        <v>422</v>
      </c>
      <c r="D148"/>
      <c r="E148" t="n">
        <v>20.5327011050305</v>
      </c>
      <c r="F148" t="n">
        <v>2.18328430356477</v>
      </c>
      <c r="G148" t="n">
        <v>41.4007049463821</v>
      </c>
      <c r="H148" t="s">
        <v>423</v>
      </c>
      <c r="I148" s="1" t="str">
        <f>HYPERLINK("https://www.google.com/maps/@?api=1&amp;map_action=pano&amp;viewpoint=41.4007049463821,2.18328430356477","Open GSV")</f>
      </c>
      <c r="J148" t="s">
        <v>22</v>
      </c>
      <c r="K148" t="s">
        <v>22</v>
      </c>
      <c r="L148" t="s">
        <v>22</v>
      </c>
    </row>
    <row r="149">
      <c r="A149" t="s">
        <v>18</v>
      </c>
      <c r="B149" t="s">
        <v>6</v>
      </c>
      <c r="C149" t="s">
        <v>424</v>
      </c>
      <c r="D149"/>
      <c r="E149" t="n">
        <v>68.0257229569383</v>
      </c>
      <c r="F149" t="n">
        <v>2.20123659882753</v>
      </c>
      <c r="G149" t="n">
        <v>41.4074294703029</v>
      </c>
      <c r="H149" t="s">
        <v>425</v>
      </c>
      <c r="I149" s="1" t="str">
        <f>HYPERLINK("https://www.google.com/maps/@?api=1&amp;map_action=pano&amp;viewpoint=41.4074294703029,2.20123659882753","Open GSV")</f>
      </c>
      <c r="J149" t="s">
        <v>22</v>
      </c>
      <c r="K149" t="s">
        <v>22</v>
      </c>
      <c r="L149" t="s">
        <v>22</v>
      </c>
    </row>
    <row r="150">
      <c r="A150" t="s">
        <v>18</v>
      </c>
      <c r="B150" t="s">
        <v>6</v>
      </c>
      <c r="C150" t="s">
        <v>426</v>
      </c>
      <c r="D150"/>
      <c r="E150" t="n">
        <v>29.52878801151</v>
      </c>
      <c r="F150" t="n">
        <v>2.21622296646532</v>
      </c>
      <c r="G150" t="n">
        <v>41.4035262571911</v>
      </c>
      <c r="H150" t="s">
        <v>427</v>
      </c>
      <c r="I150" s="1" t="str">
        <f>HYPERLINK("https://www.google.com/maps/@?api=1&amp;map_action=pano&amp;viewpoint=41.4035262571911,2.21622296646532","Open GSV")</f>
      </c>
      <c r="J150" t="s">
        <v>22</v>
      </c>
      <c r="K150" t="s">
        <v>22</v>
      </c>
      <c r="L150" t="s">
        <v>22</v>
      </c>
    </row>
    <row r="151">
      <c r="A151" t="s">
        <v>18</v>
      </c>
      <c r="B151" t="s">
        <v>6</v>
      </c>
      <c r="C151" t="s">
        <v>428</v>
      </c>
      <c r="D151"/>
      <c r="E151" t="n">
        <v>203.764189059613</v>
      </c>
      <c r="F151" t="n">
        <v>2.14442066241651</v>
      </c>
      <c r="G151" t="n">
        <v>41.3449332207542</v>
      </c>
      <c r="H151" t="s">
        <v>429</v>
      </c>
      <c r="I151" s="1" t="str">
        <f>HYPERLINK("https://www.google.com/maps/@?api=1&amp;map_action=pano&amp;viewpoint=41.3449332207542,2.14442066241651","Open GSV")</f>
      </c>
      <c r="J151" t="s">
        <v>22</v>
      </c>
      <c r="K151" t="s">
        <v>22</v>
      </c>
      <c r="L151" t="s">
        <v>22</v>
      </c>
    </row>
    <row r="152">
      <c r="A152" t="s">
        <v>18</v>
      </c>
      <c r="B152" t="s">
        <v>6</v>
      </c>
      <c r="C152" t="s">
        <v>430</v>
      </c>
      <c r="D152"/>
      <c r="E152" t="n">
        <v>238.290780958114</v>
      </c>
      <c r="F152" t="n">
        <v>2.18556578415242</v>
      </c>
      <c r="G152" t="n">
        <v>41.4076023769946</v>
      </c>
      <c r="H152" t="s">
        <v>431</v>
      </c>
      <c r="I152" s="1" t="str">
        <f>HYPERLINK("https://www.google.com/maps/@?api=1&amp;map_action=pano&amp;viewpoint=41.4076023769946,2.18556578415242","Open GSV")</f>
      </c>
      <c r="J152" t="s">
        <v>22</v>
      </c>
      <c r="K152" t="s">
        <v>22</v>
      </c>
      <c r="L152" t="s">
        <v>22</v>
      </c>
    </row>
    <row r="153">
      <c r="A153" t="s">
        <v>18</v>
      </c>
      <c r="B153" t="s">
        <v>6</v>
      </c>
      <c r="C153" t="s">
        <v>432</v>
      </c>
      <c r="D153"/>
      <c r="E153" t="n">
        <v>34.2119860879166</v>
      </c>
      <c r="F153" t="n">
        <v>2.17573436310855</v>
      </c>
      <c r="G153" t="n">
        <v>41.4002430107106</v>
      </c>
      <c r="H153" t="s">
        <v>433</v>
      </c>
      <c r="I153" s="1" t="str">
        <f>HYPERLINK("https://www.google.com/maps/@?api=1&amp;map_action=pano&amp;viewpoint=41.4002430107106,2.17573436310855","Open GSV")</f>
      </c>
      <c r="J153" t="s">
        <v>22</v>
      </c>
      <c r="K153" t="s">
        <v>22</v>
      </c>
      <c r="L153" t="s">
        <v>22</v>
      </c>
    </row>
    <row r="154">
      <c r="A154" t="s">
        <v>18</v>
      </c>
      <c r="B154" t="s">
        <v>6</v>
      </c>
      <c r="C154" t="s">
        <v>434</v>
      </c>
      <c r="D154"/>
      <c r="E154" t="n">
        <v>214.440112940399</v>
      </c>
      <c r="F154" t="n">
        <v>2.18224488410548</v>
      </c>
      <c r="G154" t="n">
        <v>41.4001220661327</v>
      </c>
      <c r="H154" t="s">
        <v>435</v>
      </c>
      <c r="I154" s="1" t="str">
        <f>HYPERLINK("https://www.google.com/maps/@?api=1&amp;map_action=pano&amp;viewpoint=41.4001220661327,2.18224488410548","Open GSV")</f>
      </c>
      <c r="J154" t="s">
        <v>22</v>
      </c>
      <c r="K154" t="s">
        <v>22</v>
      </c>
      <c r="L154" t="s">
        <v>22</v>
      </c>
    </row>
    <row r="155">
      <c r="A155" t="s">
        <v>18</v>
      </c>
      <c r="B155" t="s">
        <v>6</v>
      </c>
      <c r="C155" t="s">
        <v>436</v>
      </c>
      <c r="D155"/>
      <c r="E155" t="n">
        <v>46.6662737220637</v>
      </c>
      <c r="F155" t="n">
        <v>2.18689407556009</v>
      </c>
      <c r="G155" t="n">
        <v>41.4145277967553</v>
      </c>
      <c r="H155" t="s">
        <v>437</v>
      </c>
      <c r="I155" s="1" t="str">
        <f>HYPERLINK("https://www.google.com/maps/@?api=1&amp;map_action=pano&amp;viewpoint=41.4145277967553,2.18689407556009","Open GSV")</f>
      </c>
      <c r="J155" t="s">
        <v>22</v>
      </c>
      <c r="K155" t="s">
        <v>22</v>
      </c>
      <c r="L155" t="s">
        <v>22</v>
      </c>
    </row>
    <row r="156">
      <c r="A156" t="s">
        <v>18</v>
      </c>
      <c r="B156" t="s">
        <v>6</v>
      </c>
      <c r="C156" t="s">
        <v>438</v>
      </c>
      <c r="D156"/>
      <c r="E156" t="n">
        <v>160.574807408372</v>
      </c>
      <c r="F156" t="n">
        <v>2.18385420017918</v>
      </c>
      <c r="G156" t="n">
        <v>41.4012879756707</v>
      </c>
      <c r="H156" t="s">
        <v>439</v>
      </c>
      <c r="I156" s="1" t="str">
        <f>HYPERLINK("https://www.google.com/maps/@?api=1&amp;map_action=pano&amp;viewpoint=41.4012879756707,2.18385420017918","Open GSV")</f>
      </c>
      <c r="J156" t="s">
        <v>22</v>
      </c>
      <c r="K156" t="s">
        <v>22</v>
      </c>
      <c r="L156" t="s">
        <v>22</v>
      </c>
    </row>
    <row r="157">
      <c r="A157" t="s">
        <v>18</v>
      </c>
      <c r="B157" t="s">
        <v>6</v>
      </c>
      <c r="C157" t="s">
        <v>440</v>
      </c>
      <c r="D157"/>
      <c r="E157" t="n">
        <v>109.071566059047</v>
      </c>
      <c r="F157" t="n">
        <v>2.17723270686373</v>
      </c>
      <c r="G157" t="n">
        <v>41.4013870863283</v>
      </c>
      <c r="H157" t="s">
        <v>441</v>
      </c>
      <c r="I157" s="1" t="str">
        <f>HYPERLINK("https://www.google.com/maps/@?api=1&amp;map_action=pano&amp;viewpoint=41.4013870863283,2.17723270686373","Open GSV")</f>
      </c>
      <c r="J157" t="s">
        <v>22</v>
      </c>
      <c r="K157" t="s">
        <v>22</v>
      </c>
      <c r="L157" t="s">
        <v>22</v>
      </c>
    </row>
    <row r="158">
      <c r="A158" t="s">
        <v>18</v>
      </c>
      <c r="B158" t="s">
        <v>6</v>
      </c>
      <c r="C158" t="s">
        <v>442</v>
      </c>
      <c r="D158"/>
      <c r="E158" t="n">
        <v>76.4105372852922</v>
      </c>
      <c r="F158" t="n">
        <v>2.18789331430703</v>
      </c>
      <c r="G158" t="n">
        <v>41.3988261196837</v>
      </c>
      <c r="H158" t="s">
        <v>443</v>
      </c>
      <c r="I158" s="1" t="str">
        <f>HYPERLINK("https://www.google.com/maps/@?api=1&amp;map_action=pano&amp;viewpoint=41.3988261196837,2.18789331430703","Open GSV")</f>
      </c>
      <c r="J158" t="s">
        <v>22</v>
      </c>
      <c r="K158" t="s">
        <v>22</v>
      </c>
      <c r="L158" t="s">
        <v>22</v>
      </c>
    </row>
    <row r="159">
      <c r="A159" t="s">
        <v>18</v>
      </c>
      <c r="B159" t="s">
        <v>6</v>
      </c>
      <c r="C159" t="s">
        <v>444</v>
      </c>
      <c r="D159"/>
      <c r="E159" t="n">
        <v>26.4594926542665</v>
      </c>
      <c r="F159" t="n">
        <v>2.19134062805882</v>
      </c>
      <c r="G159" t="n">
        <v>41.4171875976844</v>
      </c>
      <c r="H159" t="s">
        <v>445</v>
      </c>
      <c r="I159" s="1" t="str">
        <f>HYPERLINK("https://www.google.com/maps/@?api=1&amp;map_action=pano&amp;viewpoint=41.4171875976844,2.19134062805882","Open GSV")</f>
      </c>
      <c r="J159" t="s">
        <v>22</v>
      </c>
      <c r="K159" t="s">
        <v>22</v>
      </c>
      <c r="L159" t="s">
        <v>22</v>
      </c>
    </row>
    <row r="160">
      <c r="A160" t="s">
        <v>18</v>
      </c>
      <c r="B160" t="s">
        <v>6</v>
      </c>
      <c r="C160" t="s">
        <v>446</v>
      </c>
      <c r="D160"/>
      <c r="E160" t="n">
        <v>20.5610918930723</v>
      </c>
      <c r="F160" t="n">
        <v>2.16791234067312</v>
      </c>
      <c r="G160" t="n">
        <v>41.3893646004109</v>
      </c>
      <c r="H160" t="s">
        <v>447</v>
      </c>
      <c r="I160" s="1" t="str">
        <f>HYPERLINK("https://www.google.com/maps/@?api=1&amp;map_action=pano&amp;viewpoint=41.3893646004109,2.16791234067312","Open GSV")</f>
      </c>
      <c r="J160" t="s">
        <v>22</v>
      </c>
      <c r="K160" t="s">
        <v>22</v>
      </c>
      <c r="L160" t="s">
        <v>22</v>
      </c>
    </row>
    <row r="161">
      <c r="A161" t="s">
        <v>18</v>
      </c>
      <c r="B161" t="s">
        <v>6</v>
      </c>
      <c r="C161" t="s">
        <v>448</v>
      </c>
      <c r="D161"/>
      <c r="E161" t="n">
        <v>89.3585351089802</v>
      </c>
      <c r="F161" t="n">
        <v>2.1362493253479</v>
      </c>
      <c r="G161" t="n">
        <v>41.3641925525895</v>
      </c>
      <c r="H161" t="s">
        <v>449</v>
      </c>
      <c r="I161" s="1" t="str">
        <f>HYPERLINK("https://www.google.com/maps/@?api=1&amp;map_action=pano&amp;viewpoint=41.3641925525895,2.1362493253479","Open GSV")</f>
      </c>
      <c r="J161" t="s">
        <v>22</v>
      </c>
      <c r="K161" t="s">
        <v>22</v>
      </c>
      <c r="L161" t="s">
        <v>22</v>
      </c>
    </row>
    <row r="162">
      <c r="A162" t="s">
        <v>18</v>
      </c>
      <c r="B162" t="s">
        <v>6</v>
      </c>
      <c r="C162" t="s">
        <v>450</v>
      </c>
      <c r="D162"/>
      <c r="E162" t="n">
        <v>143.246218600501</v>
      </c>
      <c r="F162" t="n">
        <v>2.13562914571777</v>
      </c>
      <c r="G162" t="n">
        <v>41.3444059092745</v>
      </c>
      <c r="H162" t="s">
        <v>451</v>
      </c>
      <c r="I162" s="1" t="str">
        <f>HYPERLINK("https://www.google.com/maps/@?api=1&amp;map_action=pano&amp;viewpoint=41.3444059092745,2.13562914571777","Open GSV")</f>
      </c>
      <c r="J162" t="s">
        <v>22</v>
      </c>
      <c r="K162" t="s">
        <v>22</v>
      </c>
      <c r="L162" t="s">
        <v>22</v>
      </c>
    </row>
    <row r="163">
      <c r="A163" t="s">
        <v>18</v>
      </c>
      <c r="B163" t="s">
        <v>6</v>
      </c>
      <c r="C163" t="s">
        <v>452</v>
      </c>
      <c r="D163"/>
      <c r="E163" t="n">
        <v>36.4897703173506</v>
      </c>
      <c r="F163" t="n">
        <v>2.17422701975385</v>
      </c>
      <c r="G163" t="n">
        <v>41.3993411891716</v>
      </c>
      <c r="H163" t="s">
        <v>453</v>
      </c>
      <c r="I163" s="1" t="str">
        <f>HYPERLINK("https://www.google.com/maps/@?api=1&amp;map_action=pano&amp;viewpoint=41.3993411891716,2.17422701975385","Open GSV")</f>
      </c>
      <c r="J163" t="s">
        <v>22</v>
      </c>
      <c r="K163" t="s">
        <v>22</v>
      </c>
      <c r="L163" t="s">
        <v>22</v>
      </c>
    </row>
    <row r="164">
      <c r="A164" t="s">
        <v>18</v>
      </c>
      <c r="B164" t="s">
        <v>6</v>
      </c>
      <c r="C164" t="s">
        <v>454</v>
      </c>
      <c r="D164"/>
      <c r="E164" t="n">
        <v>96.5103028600318</v>
      </c>
      <c r="F164" t="n">
        <v>2.17602102222098</v>
      </c>
      <c r="G164" t="n">
        <v>41.3979820198114</v>
      </c>
      <c r="H164" t="s">
        <v>455</v>
      </c>
      <c r="I164" s="1" t="str">
        <f>HYPERLINK("https://www.google.com/maps/@?api=1&amp;map_action=pano&amp;viewpoint=41.3979820198114,2.17602102222098","Open GSV")</f>
      </c>
      <c r="J164" t="s">
        <v>22</v>
      </c>
      <c r="K164" t="s">
        <v>22</v>
      </c>
      <c r="L164" t="s">
        <v>22</v>
      </c>
    </row>
    <row r="165">
      <c r="A165" t="s">
        <v>18</v>
      </c>
      <c r="B165" t="s">
        <v>6</v>
      </c>
      <c r="C165" t="s">
        <v>456</v>
      </c>
      <c r="D165"/>
      <c r="E165" t="n">
        <v>506.515840678321</v>
      </c>
      <c r="F165" t="n">
        <v>2.1910412550804</v>
      </c>
      <c r="G165" t="n">
        <v>41.4400762022703</v>
      </c>
      <c r="H165" t="s">
        <v>457</v>
      </c>
      <c r="I165" s="1" t="str">
        <f>HYPERLINK("https://www.google.com/maps/@?api=1&amp;map_action=pano&amp;viewpoint=41.4400762022703,2.1910412550804","Open GSV")</f>
      </c>
      <c r="J165" t="s">
        <v>22</v>
      </c>
      <c r="K165" t="s">
        <v>22</v>
      </c>
      <c r="L165" t="s">
        <v>22</v>
      </c>
    </row>
    <row r="166">
      <c r="A166" t="s">
        <v>18</v>
      </c>
      <c r="B166" t="s">
        <v>6</v>
      </c>
      <c r="C166" t="s">
        <v>458</v>
      </c>
      <c r="D166"/>
      <c r="E166" t="n">
        <v>128.398450065942</v>
      </c>
      <c r="F166" t="n">
        <v>2.18053725727958</v>
      </c>
      <c r="G166" t="n">
        <v>41.4099241163192</v>
      </c>
      <c r="H166" t="s">
        <v>459</v>
      </c>
      <c r="I166" s="1" t="str">
        <f>HYPERLINK("https://www.google.com/maps/@?api=1&amp;map_action=pano&amp;viewpoint=41.4099241163192,2.18053725727958","Open GSV")</f>
      </c>
      <c r="J166" t="s">
        <v>22</v>
      </c>
      <c r="K166" t="s">
        <v>22</v>
      </c>
      <c r="L166" t="s">
        <v>22</v>
      </c>
    </row>
    <row r="167">
      <c r="A167" t="s">
        <v>18</v>
      </c>
      <c r="B167" t="s">
        <v>6</v>
      </c>
      <c r="C167" t="s">
        <v>460</v>
      </c>
      <c r="D167"/>
      <c r="E167" t="n">
        <v>254.09002820926</v>
      </c>
      <c r="F167" t="n">
        <v>2.18120059362181</v>
      </c>
      <c r="G167" t="n">
        <v>41.407757131018</v>
      </c>
      <c r="H167" t="s">
        <v>461</v>
      </c>
      <c r="I167" s="1" t="str">
        <f>HYPERLINK("https://www.google.com/maps/@?api=1&amp;map_action=pano&amp;viewpoint=41.407757131018,2.18120059362181","Open GSV")</f>
      </c>
      <c r="J167" t="s">
        <v>22</v>
      </c>
      <c r="K167" t="s">
        <v>22</v>
      </c>
      <c r="L167" t="s">
        <v>22</v>
      </c>
    </row>
    <row r="168">
      <c r="A168" t="s">
        <v>18</v>
      </c>
      <c r="B168" t="s">
        <v>6</v>
      </c>
      <c r="C168" t="s">
        <v>462</v>
      </c>
      <c r="D168"/>
      <c r="E168" t="n">
        <v>274.42215837056</v>
      </c>
      <c r="F168" t="n">
        <v>2.13345841619683</v>
      </c>
      <c r="G168" t="n">
        <v>41.3977197470579</v>
      </c>
      <c r="H168" t="s">
        <v>463</v>
      </c>
      <c r="I168" s="1" t="str">
        <f>HYPERLINK("https://www.google.com/maps/@?api=1&amp;map_action=pano&amp;viewpoint=41.3977197470579,2.13345841619683","Open GSV")</f>
      </c>
      <c r="J168" t="s">
        <v>22</v>
      </c>
      <c r="K168" t="s">
        <v>22</v>
      </c>
      <c r="L168" t="s">
        <v>22</v>
      </c>
    </row>
    <row r="169">
      <c r="A169" t="s">
        <v>18</v>
      </c>
      <c r="B169" t="s">
        <v>6</v>
      </c>
      <c r="C169" t="s">
        <v>464</v>
      </c>
      <c r="D169"/>
      <c r="E169" t="n">
        <v>23.8044348983753</v>
      </c>
      <c r="F169" t="n">
        <v>2.13896830009386</v>
      </c>
      <c r="G169" t="n">
        <v>41.3431475438772</v>
      </c>
      <c r="H169" t="s">
        <v>465</v>
      </c>
      <c r="I169" s="1" t="str">
        <f>HYPERLINK("https://www.google.com/maps/@?api=1&amp;map_action=pano&amp;viewpoint=41.3431475438772,2.13896830009386","Open GSV")</f>
      </c>
      <c r="J169" t="s">
        <v>22</v>
      </c>
      <c r="K169" t="s">
        <v>22</v>
      </c>
      <c r="L169" t="s">
        <v>22</v>
      </c>
    </row>
    <row r="170">
      <c r="A170" t="s">
        <v>18</v>
      </c>
      <c r="B170" t="s">
        <v>6</v>
      </c>
      <c r="C170" t="s">
        <v>466</v>
      </c>
      <c r="D170"/>
      <c r="E170" t="n">
        <v>20.474230381836</v>
      </c>
      <c r="F170" t="n">
        <v>2.19307605001265</v>
      </c>
      <c r="G170" t="n">
        <v>41.4420771938399</v>
      </c>
      <c r="H170" t="s">
        <v>467</v>
      </c>
      <c r="I170" s="1" t="str">
        <f>HYPERLINK("https://www.google.com/maps/@?api=1&amp;map_action=pano&amp;viewpoint=41.4420771938399,2.19307605001265","Open GSV")</f>
      </c>
      <c r="J170" t="s">
        <v>22</v>
      </c>
      <c r="K170" t="s">
        <v>22</v>
      </c>
      <c r="L170" t="s">
        <v>22</v>
      </c>
    </row>
    <row r="171">
      <c r="A171" t="s">
        <v>18</v>
      </c>
      <c r="B171" t="s">
        <v>6</v>
      </c>
      <c r="C171" t="s">
        <v>468</v>
      </c>
      <c r="D171"/>
      <c r="E171" t="n">
        <v>42.9197105515889</v>
      </c>
      <c r="F171" t="n">
        <v>2.11125968469779</v>
      </c>
      <c r="G171" t="n">
        <v>41.3846157648093</v>
      </c>
      <c r="H171" t="s">
        <v>469</v>
      </c>
      <c r="I171" s="1" t="str">
        <f>HYPERLINK("https://www.google.com/maps/@?api=1&amp;map_action=pano&amp;viewpoint=41.3846157648093,2.11125968469779","Open GSV")</f>
      </c>
      <c r="J171" t="s">
        <v>22</v>
      </c>
      <c r="K171" t="s">
        <v>22</v>
      </c>
      <c r="L171" t="s">
        <v>22</v>
      </c>
    </row>
    <row r="172">
      <c r="A172" t="s">
        <v>18</v>
      </c>
      <c r="B172" t="s">
        <v>6</v>
      </c>
      <c r="C172" t="s">
        <v>470</v>
      </c>
      <c r="D172"/>
      <c r="E172" t="n">
        <v>650.947797799068</v>
      </c>
      <c r="F172" t="n">
        <v>2.15558806515497</v>
      </c>
      <c r="G172" t="n">
        <v>41.3885337256581</v>
      </c>
      <c r="H172" t="s">
        <v>471</v>
      </c>
      <c r="I172" s="1" t="str">
        <f>HYPERLINK("https://www.google.com/maps/@?api=1&amp;map_action=pano&amp;viewpoint=41.3885337256581,2.15558806515497","Open GSV")</f>
      </c>
      <c r="J172" t="s">
        <v>22</v>
      </c>
      <c r="K172" t="s">
        <v>22</v>
      </c>
      <c r="L172" t="s">
        <v>22</v>
      </c>
    </row>
    <row r="173">
      <c r="A173" t="s">
        <v>18</v>
      </c>
      <c r="B173" t="s">
        <v>6</v>
      </c>
      <c r="C173" t="s">
        <v>472</v>
      </c>
      <c r="D173"/>
      <c r="E173" t="n">
        <v>20.6955377147962</v>
      </c>
      <c r="F173" t="n">
        <v>2.16987888782357</v>
      </c>
      <c r="G173" t="n">
        <v>41.3992312249409</v>
      </c>
      <c r="H173" t="s">
        <v>473</v>
      </c>
      <c r="I173" s="1" t="str">
        <f>HYPERLINK("https://www.google.com/maps/@?api=1&amp;map_action=pano&amp;viewpoint=41.3992312249409,2.16987888782357","Open GSV")</f>
      </c>
      <c r="J173" t="s">
        <v>22</v>
      </c>
      <c r="K173" t="s">
        <v>22</v>
      </c>
      <c r="L173" t="s">
        <v>22</v>
      </c>
    </row>
    <row r="174">
      <c r="A174" t="s">
        <v>18</v>
      </c>
      <c r="B174" t="s">
        <v>6</v>
      </c>
      <c r="C174" t="s">
        <v>474</v>
      </c>
      <c r="D174"/>
      <c r="E174" t="n">
        <v>169.756745285719</v>
      </c>
      <c r="F174" t="n">
        <v>2.19553412938093</v>
      </c>
      <c r="G174" t="n">
        <v>41.429002626128</v>
      </c>
      <c r="H174" t="s">
        <v>475</v>
      </c>
      <c r="I174" s="1" t="str">
        <f>HYPERLINK("https://www.google.com/maps/@?api=1&amp;map_action=pano&amp;viewpoint=41.429002626128,2.19553412938093","Open GSV")</f>
      </c>
      <c r="J174" t="s">
        <v>22</v>
      </c>
      <c r="K174" t="s">
        <v>22</v>
      </c>
      <c r="L174" t="s">
        <v>22</v>
      </c>
    </row>
    <row r="175">
      <c r="A175" t="s">
        <v>18</v>
      </c>
      <c r="B175" t="s">
        <v>6</v>
      </c>
      <c r="C175" t="s">
        <v>476</v>
      </c>
      <c r="D175"/>
      <c r="E175" t="n">
        <v>249.314912110355</v>
      </c>
      <c r="F175" t="n">
        <v>2.19577597079565</v>
      </c>
      <c r="G175" t="n">
        <v>41.3864783226059</v>
      </c>
      <c r="H175" t="s">
        <v>477</v>
      </c>
      <c r="I175" s="1" t="str">
        <f>HYPERLINK("https://www.google.com/maps/@?api=1&amp;map_action=pano&amp;viewpoint=41.3864783226059,2.19577597079565","Open GSV")</f>
      </c>
      <c r="J175" t="s">
        <v>22</v>
      </c>
      <c r="K175" t="s">
        <v>22</v>
      </c>
      <c r="L175" t="s">
        <v>22</v>
      </c>
    </row>
    <row r="176">
      <c r="A176" t="s">
        <v>18</v>
      </c>
      <c r="B176" t="s">
        <v>6</v>
      </c>
      <c r="C176" t="s">
        <v>478</v>
      </c>
      <c r="D176"/>
      <c r="E176" t="n">
        <v>142.644611684822</v>
      </c>
      <c r="F176" t="n">
        <v>2.19640965274747</v>
      </c>
      <c r="G176" t="n">
        <v>41.3852080700186</v>
      </c>
      <c r="H176" t="s">
        <v>479</v>
      </c>
      <c r="I176" s="1" t="str">
        <f>HYPERLINK("https://www.google.com/maps/@?api=1&amp;map_action=pano&amp;viewpoint=41.3852080700186,2.19640965274747","Open GSV")</f>
      </c>
      <c r="J176" t="s">
        <v>22</v>
      </c>
      <c r="K176" t="s">
        <v>22</v>
      </c>
      <c r="L176" t="s">
        <v>22</v>
      </c>
    </row>
    <row r="177">
      <c r="A177" t="s">
        <v>18</v>
      </c>
      <c r="B177" t="s">
        <v>6</v>
      </c>
      <c r="C177" t="s">
        <v>480</v>
      </c>
      <c r="D177"/>
      <c r="E177" t="n">
        <v>654.367653640136</v>
      </c>
      <c r="F177" t="n">
        <v>2.14365882948277</v>
      </c>
      <c r="G177" t="n">
        <v>41.3539688726619</v>
      </c>
      <c r="H177" t="s">
        <v>481</v>
      </c>
      <c r="I177" s="1" t="str">
        <f>HYPERLINK("https://www.google.com/maps/@?api=1&amp;map_action=pano&amp;viewpoint=41.3539688726619,2.14365882948277","Open GSV")</f>
      </c>
      <c r="J177" t="s">
        <v>22</v>
      </c>
      <c r="K177" t="s">
        <v>22</v>
      </c>
      <c r="L177" t="s">
        <v>22</v>
      </c>
    </row>
    <row r="178">
      <c r="A178" t="s">
        <v>18</v>
      </c>
      <c r="B178" t="s">
        <v>6</v>
      </c>
      <c r="C178" t="s">
        <v>482</v>
      </c>
      <c r="D178"/>
      <c r="E178" t="n">
        <v>98.5589418366163</v>
      </c>
      <c r="F178" t="n">
        <v>2.16300071907666</v>
      </c>
      <c r="G178" t="n">
        <v>41.4054054479542</v>
      </c>
      <c r="H178" t="s">
        <v>483</v>
      </c>
      <c r="I178" s="1" t="str">
        <f>HYPERLINK("https://www.google.com/maps/@?api=1&amp;map_action=pano&amp;viewpoint=41.4054054479542,2.16300071907666","Open GSV")</f>
      </c>
      <c r="J178" t="s">
        <v>22</v>
      </c>
      <c r="K178" t="s">
        <v>22</v>
      </c>
      <c r="L178" t="s">
        <v>22</v>
      </c>
    </row>
    <row r="179">
      <c r="A179" t="s">
        <v>18</v>
      </c>
      <c r="B179" t="s">
        <v>6</v>
      </c>
      <c r="C179" t="s">
        <v>484</v>
      </c>
      <c r="D179"/>
      <c r="E179" t="n">
        <v>130.232049683952</v>
      </c>
      <c r="F179" t="n">
        <v>2.14759151837303</v>
      </c>
      <c r="G179" t="n">
        <v>41.3825845822439</v>
      </c>
      <c r="H179" t="s">
        <v>485</v>
      </c>
      <c r="I179" s="1" t="str">
        <f>HYPERLINK("https://www.google.com/maps/@?api=1&amp;map_action=pano&amp;viewpoint=41.3825845822439,2.14759151837303","Open GSV")</f>
      </c>
      <c r="J179" t="s">
        <v>22</v>
      </c>
      <c r="K179" t="s">
        <v>22</v>
      </c>
      <c r="L179" t="s">
        <v>22</v>
      </c>
    </row>
    <row r="180">
      <c r="A180" t="s">
        <v>18</v>
      </c>
      <c r="B180" t="s">
        <v>6</v>
      </c>
      <c r="C180" t="s">
        <v>486</v>
      </c>
      <c r="D180"/>
      <c r="E180" t="n">
        <v>30.6093088335444</v>
      </c>
      <c r="F180" t="n">
        <v>2.18476935383727</v>
      </c>
      <c r="G180" t="n">
        <v>41.402859819436</v>
      </c>
      <c r="H180" t="s">
        <v>487</v>
      </c>
      <c r="I180" s="1" t="str">
        <f>HYPERLINK("https://www.google.com/maps/@?api=1&amp;map_action=pano&amp;viewpoint=41.402859819436,2.18476935383727","Open GSV")</f>
      </c>
      <c r="J180" t="s">
        <v>22</v>
      </c>
      <c r="K180" t="s">
        <v>22</v>
      </c>
      <c r="L180" t="s">
        <v>22</v>
      </c>
    </row>
    <row r="181">
      <c r="A181" t="s">
        <v>18</v>
      </c>
      <c r="B181" t="s">
        <v>6</v>
      </c>
      <c r="C181" t="s">
        <v>488</v>
      </c>
      <c r="D181"/>
      <c r="E181" t="n">
        <v>95.627973953751</v>
      </c>
      <c r="F181" t="n">
        <v>2.17739842332011</v>
      </c>
      <c r="G181" t="n">
        <v>41.401104673069</v>
      </c>
      <c r="H181" t="s">
        <v>489</v>
      </c>
      <c r="I181" s="1" t="str">
        <f>HYPERLINK("https://www.google.com/maps/@?api=1&amp;map_action=pano&amp;viewpoint=41.401104673069,2.17739842332011","Open GSV")</f>
      </c>
      <c r="J181" t="s">
        <v>22</v>
      </c>
      <c r="K181" t="s">
        <v>22</v>
      </c>
      <c r="L181" t="s">
        <v>22</v>
      </c>
    </row>
    <row r="182">
      <c r="A182" t="s">
        <v>18</v>
      </c>
      <c r="B182" t="s">
        <v>6</v>
      </c>
      <c r="C182" t="s">
        <v>490</v>
      </c>
      <c r="D182"/>
      <c r="E182" t="n">
        <v>39.0447163467558</v>
      </c>
      <c r="F182" t="n">
        <v>2.16133276760954</v>
      </c>
      <c r="G182" t="n">
        <v>41.4035600847655</v>
      </c>
      <c r="H182" t="s">
        <v>491</v>
      </c>
      <c r="I182" s="1" t="str">
        <f>HYPERLINK("https://www.google.com/maps/@?api=1&amp;map_action=pano&amp;viewpoint=41.4035600847655,2.16133276760954","Open GSV")</f>
      </c>
      <c r="J182" t="s">
        <v>22</v>
      </c>
      <c r="K182" t="s">
        <v>22</v>
      </c>
      <c r="L182" t="s">
        <v>22</v>
      </c>
    </row>
    <row r="183">
      <c r="A183" t="s">
        <v>18</v>
      </c>
      <c r="B183" t="s">
        <v>6</v>
      </c>
      <c r="C183" t="s">
        <v>492</v>
      </c>
      <c r="D183"/>
      <c r="E183" t="n">
        <v>194.582835382614</v>
      </c>
      <c r="F183" t="n">
        <v>2.14839188390368</v>
      </c>
      <c r="G183" t="n">
        <v>41.427734496348</v>
      </c>
      <c r="H183" t="s">
        <v>493</v>
      </c>
      <c r="I183" s="1" t="str">
        <f>HYPERLINK("https://www.google.com/maps/@?api=1&amp;map_action=pano&amp;viewpoint=41.427734496348,2.14839188390368","Open GSV")</f>
      </c>
      <c r="J183" t="s">
        <v>22</v>
      </c>
      <c r="K183" t="s">
        <v>22</v>
      </c>
      <c r="L183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eugenividaltortosa</dc:creator>
  <cp:lastModifiedBy>eugenividaltortosa</cp:lastModifiedBy>
  <dcterms:created xsi:type="dcterms:W3CDTF">2026-04-13T17:36:35Z</dcterms:created>
</coreProperties>
</file>